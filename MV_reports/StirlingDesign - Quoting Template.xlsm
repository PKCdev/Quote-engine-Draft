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d757ec4c05345789/Jobs July 2025 - June 2026/Weststyle (Nedlands)/"/>
    </mc:Choice>
  </mc:AlternateContent>
  <xr:revisionPtr revIDLastSave="149" documentId="13_ncr:1_{2495E34C-77B3-42FA-9DDD-B31E1AA5F81B}" xr6:coauthVersionLast="47" xr6:coauthVersionMax="47" xr10:uidLastSave="{1DEF2D66-4087-438F-BE69-86DB8493E934}"/>
  <bookViews>
    <workbookView xWindow="-108" yWindow="-108" windowWidth="23256" windowHeight="12456" firstSheet="6" activeTab="12" xr2:uid="{B609B088-AC9B-499E-81C8-6BDB654D1DA9}"/>
  </bookViews>
  <sheets>
    <sheet name="Austim" sheetId="19" r:id="rId1"/>
    <sheet name="Modernform" sheetId="20" r:id="rId2"/>
    <sheet name="Frameless" sheetId="17" r:id="rId3"/>
    <sheet name="Coatings" sheetId="15" r:id="rId4"/>
    <sheet name="Lincoln Sentry" sheetId="13" r:id="rId5"/>
    <sheet name="WWTT" sheetId="12" r:id="rId6"/>
    <sheet name="Wilson and Bradley" sheetId="11" r:id="rId7"/>
    <sheet name="GBI" sheetId="18" r:id="rId8"/>
    <sheet name="Laminex" sheetId="9" r:id="rId9"/>
    <sheet name="Hafele" sheetId="8" r:id="rId10"/>
    <sheet name="Polytec" sheetId="2" r:id="rId11"/>
    <sheet name="Labour" sheetId="4" r:id="rId12"/>
    <sheet name="Final Costings" sheetId="7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" i="7" l="1"/>
  <c r="C12" i="7"/>
  <c r="C4" i="7"/>
  <c r="E22" i="4"/>
  <c r="E23" i="4"/>
  <c r="E24" i="4"/>
  <c r="E25" i="4"/>
  <c r="E26" i="4"/>
  <c r="F53" i="18"/>
  <c r="F51" i="18"/>
  <c r="F50" i="18"/>
  <c r="F49" i="18"/>
  <c r="F48" i="18"/>
  <c r="F13" i="2"/>
  <c r="E48" i="11" l="1"/>
  <c r="E47" i="11"/>
  <c r="E46" i="11"/>
  <c r="E45" i="11"/>
  <c r="E44" i="11"/>
  <c r="E43" i="11"/>
  <c r="E42" i="11"/>
  <c r="E40" i="11"/>
  <c r="E39" i="11"/>
  <c r="E38" i="11"/>
  <c r="E37" i="11"/>
  <c r="E36" i="11"/>
  <c r="E35" i="11"/>
  <c r="E34" i="11"/>
  <c r="G57" i="4" l="1"/>
  <c r="G55" i="4"/>
  <c r="G54" i="4"/>
  <c r="G52" i="4"/>
  <c r="G50" i="4"/>
  <c r="G49" i="4"/>
  <c r="G48" i="4"/>
  <c r="G47" i="4"/>
  <c r="G46" i="4"/>
  <c r="G45" i="4"/>
  <c r="G44" i="4"/>
  <c r="G41" i="4"/>
  <c r="F31" i="18" l="1"/>
  <c r="F37" i="18"/>
  <c r="F36" i="18"/>
  <c r="F35" i="18"/>
  <c r="F34" i="18"/>
  <c r="F33" i="18"/>
  <c r="F55" i="18"/>
  <c r="F46" i="18"/>
  <c r="F45" i="18"/>
  <c r="F44" i="18"/>
  <c r="F40" i="18"/>
  <c r="F32" i="18"/>
  <c r="F30" i="18"/>
  <c r="Q8" i="7"/>
  <c r="F32" i="2" l="1"/>
  <c r="F30" i="19"/>
  <c r="E28" i="4"/>
  <c r="F18" i="2"/>
  <c r="F19" i="2"/>
  <c r="G84" i="11"/>
  <c r="G82" i="11"/>
  <c r="G81" i="11"/>
  <c r="G80" i="11"/>
  <c r="G79" i="11"/>
  <c r="G78" i="11"/>
  <c r="G77" i="11"/>
  <c r="G76" i="11"/>
  <c r="G75" i="11"/>
  <c r="G74" i="11"/>
  <c r="G73" i="11"/>
  <c r="G71" i="11"/>
  <c r="G70" i="11"/>
  <c r="G69" i="11"/>
  <c r="G68" i="11"/>
  <c r="G67" i="11"/>
  <c r="G66" i="11"/>
  <c r="G64" i="11"/>
  <c r="G63" i="11"/>
  <c r="G62" i="11"/>
  <c r="G60" i="11"/>
  <c r="G59" i="11"/>
  <c r="G58" i="11"/>
  <c r="G57" i="11"/>
  <c r="G56" i="11"/>
  <c r="G55" i="11"/>
  <c r="G54" i="11"/>
  <c r="G52" i="11"/>
  <c r="G51" i="11"/>
  <c r="G50" i="11"/>
  <c r="G48" i="11"/>
  <c r="G47" i="11"/>
  <c r="G46" i="11"/>
  <c r="G45" i="11"/>
  <c r="G44" i="11"/>
  <c r="G43" i="11"/>
  <c r="G42" i="11"/>
  <c r="G40" i="11"/>
  <c r="G39" i="11"/>
  <c r="G38" i="11"/>
  <c r="G37" i="11"/>
  <c r="G36" i="11"/>
  <c r="G35" i="11"/>
  <c r="G34" i="11"/>
  <c r="G32" i="11"/>
  <c r="G31" i="11"/>
  <c r="G30" i="11"/>
  <c r="G29" i="11"/>
  <c r="G28" i="11"/>
  <c r="G27" i="11"/>
  <c r="G26" i="11"/>
  <c r="G24" i="11"/>
  <c r="G23" i="11"/>
  <c r="G22" i="11"/>
  <c r="G21" i="11"/>
  <c r="G19" i="11"/>
  <c r="G18" i="11"/>
  <c r="G17" i="11"/>
  <c r="G16" i="11"/>
  <c r="G15" i="11"/>
  <c r="G14" i="11"/>
  <c r="G13" i="11"/>
  <c r="G11" i="11"/>
  <c r="G10" i="11"/>
  <c r="G8" i="11"/>
  <c r="G7" i="11"/>
  <c r="M4" i="11" l="1"/>
  <c r="F26" i="8"/>
  <c r="F25" i="8"/>
  <c r="F24" i="8"/>
  <c r="F23" i="8"/>
  <c r="F22" i="8"/>
  <c r="F12" i="2"/>
  <c r="F55" i="2"/>
  <c r="F22" i="2"/>
  <c r="F21" i="2"/>
  <c r="F22" i="9"/>
  <c r="F10" i="9"/>
  <c r="F54" i="2"/>
  <c r="F53" i="2"/>
  <c r="F52" i="2"/>
  <c r="F51" i="2"/>
  <c r="F10" i="20" l="1"/>
  <c r="F9" i="20"/>
  <c r="F6" i="20" l="1"/>
  <c r="F7" i="20"/>
  <c r="F8" i="20"/>
  <c r="F12" i="20"/>
  <c r="F6" i="19"/>
  <c r="F7" i="19"/>
  <c r="F8" i="19"/>
  <c r="F10" i="19"/>
  <c r="F11" i="19"/>
  <c r="F12" i="19"/>
  <c r="F13" i="19"/>
  <c r="F14" i="19"/>
  <c r="F15" i="19"/>
  <c r="F16" i="19"/>
  <c r="F17" i="19"/>
  <c r="F18" i="19"/>
  <c r="F20" i="19"/>
  <c r="F21" i="19"/>
  <c r="F22" i="19"/>
  <c r="F23" i="19"/>
  <c r="F24" i="19"/>
  <c r="F25" i="19"/>
  <c r="F26" i="19"/>
  <c r="F27" i="19"/>
  <c r="F28" i="19"/>
  <c r="F33" i="19"/>
  <c r="F35" i="19"/>
  <c r="M4" i="20" l="1"/>
  <c r="M4" i="19"/>
  <c r="F10" i="12"/>
  <c r="F8" i="18"/>
  <c r="F10" i="18"/>
  <c r="F20" i="18"/>
  <c r="F25" i="18"/>
  <c r="F43" i="18"/>
  <c r="F27" i="18"/>
  <c r="F13" i="18"/>
  <c r="F12" i="18"/>
  <c r="F24" i="18"/>
  <c r="F15" i="18"/>
  <c r="F17" i="18"/>
  <c r="F22" i="18"/>
  <c r="F19" i="18"/>
  <c r="F21" i="18"/>
  <c r="F14" i="18"/>
  <c r="F18" i="18"/>
  <c r="F16" i="18"/>
  <c r="F6" i="18"/>
  <c r="F7" i="18"/>
  <c r="F9" i="18"/>
  <c r="E37" i="4"/>
  <c r="E36" i="4"/>
  <c r="M4" i="18" l="1"/>
  <c r="E32" i="4"/>
  <c r="E31" i="4"/>
  <c r="E30" i="4"/>
  <c r="E29" i="4"/>
  <c r="G37" i="4"/>
  <c r="G23" i="4"/>
  <c r="E35" i="4"/>
  <c r="E34" i="4"/>
  <c r="G8" i="4"/>
  <c r="F43" i="2"/>
  <c r="F21" i="15"/>
  <c r="F42" i="2"/>
  <c r="F25" i="2"/>
  <c r="F20" i="2"/>
  <c r="F60" i="2"/>
  <c r="F59" i="2"/>
  <c r="F58" i="2"/>
  <c r="G8" i="7" l="1"/>
  <c r="G9" i="7" s="1"/>
  <c r="F31" i="2"/>
  <c r="F48" i="2"/>
  <c r="F47" i="2"/>
  <c r="F6" i="17"/>
  <c r="F12" i="17"/>
  <c r="F41" i="2"/>
  <c r="F17" i="2"/>
  <c r="F40" i="2"/>
  <c r="F16" i="2"/>
  <c r="F24" i="15"/>
  <c r="F16" i="15"/>
  <c r="F12" i="15"/>
  <c r="F15" i="15"/>
  <c r="F14" i="15"/>
  <c r="F11" i="15"/>
  <c r="F10" i="15"/>
  <c r="G10" i="4"/>
  <c r="G39" i="4"/>
  <c r="F7" i="15"/>
  <c r="F6" i="15"/>
  <c r="F9" i="13"/>
  <c r="F7" i="13"/>
  <c r="F6" i="13"/>
  <c r="F28" i="8"/>
  <c r="F62" i="2"/>
  <c r="F15" i="12"/>
  <c r="F14" i="12"/>
  <c r="F13" i="12"/>
  <c r="F46" i="2"/>
  <c r="F7" i="12"/>
  <c r="F19" i="12"/>
  <c r="F6" i="12"/>
  <c r="F9" i="9"/>
  <c r="F29" i="9"/>
  <c r="F28" i="9"/>
  <c r="F21" i="9"/>
  <c r="F27" i="9"/>
  <c r="F26" i="9"/>
  <c r="F25" i="9"/>
  <c r="F20" i="9"/>
  <c r="F14" i="9"/>
  <c r="F19" i="9"/>
  <c r="F8" i="9"/>
  <c r="F7" i="9"/>
  <c r="F20" i="8"/>
  <c r="F19" i="8"/>
  <c r="F18" i="8"/>
  <c r="F17" i="8"/>
  <c r="F16" i="8"/>
  <c r="F15" i="8"/>
  <c r="F13" i="8"/>
  <c r="F12" i="8"/>
  <c r="F11" i="8"/>
  <c r="F10" i="8"/>
  <c r="F9" i="8"/>
  <c r="F8" i="8"/>
  <c r="F6" i="8"/>
  <c r="F7" i="8"/>
  <c r="F39" i="2"/>
  <c r="F38" i="2"/>
  <c r="F37" i="2"/>
  <c r="F36" i="2"/>
  <c r="F35" i="2"/>
  <c r="F30" i="2"/>
  <c r="F15" i="2"/>
  <c r="F11" i="2"/>
  <c r="F8" i="2"/>
  <c r="F7" i="2"/>
  <c r="G26" i="4"/>
  <c r="G36" i="4"/>
  <c r="G35" i="4"/>
  <c r="G34" i="4"/>
  <c r="G32" i="4"/>
  <c r="G31" i="4"/>
  <c r="G30" i="4"/>
  <c r="G29" i="4"/>
  <c r="G28" i="4"/>
  <c r="G25" i="4"/>
  <c r="G24" i="4"/>
  <c r="G22" i="4"/>
  <c r="G20" i="4"/>
  <c r="G19" i="4"/>
  <c r="G17" i="4"/>
  <c r="G15" i="4"/>
  <c r="G14" i="4"/>
  <c r="G12" i="4"/>
  <c r="G6" i="4"/>
  <c r="M4" i="17" l="1"/>
  <c r="G10" i="7"/>
  <c r="N4" i="4"/>
  <c r="M4" i="12"/>
  <c r="L4" i="2"/>
  <c r="M4" i="13"/>
  <c r="M4" i="8"/>
  <c r="M4" i="9"/>
  <c r="M4" i="15"/>
  <c r="Q4" i="7" l="1"/>
  <c r="C5" i="7"/>
  <c r="C7" i="7" l="1"/>
  <c r="G5" i="7"/>
  <c r="G4" i="7" l="1"/>
  <c r="Q5" i="7"/>
  <c r="C9" i="7"/>
  <c r="C10" i="7"/>
  <c r="Q7" i="7" l="1"/>
  <c r="Q6" i="7"/>
  <c r="C17" i="7"/>
  <c r="C18" i="7" l="1"/>
  <c r="Q9" i="7" s="1"/>
  <c r="Q12" i="7" s="1"/>
</calcChain>
</file>

<file path=xl/sharedStrings.xml><?xml version="1.0" encoding="utf-8"?>
<sst xmlns="http://schemas.openxmlformats.org/spreadsheetml/2006/main" count="603" uniqueCount="302">
  <si>
    <t>Polytec Board</t>
  </si>
  <si>
    <t>Unit Price</t>
  </si>
  <si>
    <t>Total</t>
  </si>
  <si>
    <t>Board Colour</t>
  </si>
  <si>
    <t>Carcasses</t>
  </si>
  <si>
    <t>Colour Board</t>
  </si>
  <si>
    <t>Colour Board Matt</t>
  </si>
  <si>
    <t>Colour Board Venette</t>
  </si>
  <si>
    <t>Laminates</t>
  </si>
  <si>
    <t>Edging</t>
  </si>
  <si>
    <t>Colour Board Woodmatt</t>
  </si>
  <si>
    <t>Size</t>
  </si>
  <si>
    <t>24x12</t>
  </si>
  <si>
    <t>36x12</t>
  </si>
  <si>
    <t>100mtr</t>
  </si>
  <si>
    <t>20mtr</t>
  </si>
  <si>
    <t>Cinder 21x1</t>
  </si>
  <si>
    <t>White Matt PB 16mm</t>
  </si>
  <si>
    <t>Cinder Matt PB 16mm</t>
  </si>
  <si>
    <t>Cinder Matt 0.7mm</t>
  </si>
  <si>
    <t>Carcass 19x1</t>
  </si>
  <si>
    <t>200mtr</t>
  </si>
  <si>
    <t>Black</t>
  </si>
  <si>
    <t>Cinder MDF 16mm</t>
  </si>
  <si>
    <t>Black MDF 16mm</t>
  </si>
  <si>
    <t>Black Woodmatt 21x1</t>
  </si>
  <si>
    <t>Labour</t>
  </si>
  <si>
    <t>Type of Labour</t>
  </si>
  <si>
    <t>Quantity (hrs)</t>
  </si>
  <si>
    <t>Design</t>
  </si>
  <si>
    <t>Discussions/Changes</t>
  </si>
  <si>
    <t>Cutting Carcasses</t>
  </si>
  <si>
    <t>Cutting Doors/Endpanels</t>
  </si>
  <si>
    <t>Cutting/Drilling Hardware</t>
  </si>
  <si>
    <t>Edging Carcasses</t>
  </si>
  <si>
    <t>Edging Doors/Endpanels/Fillers</t>
  </si>
  <si>
    <t>Assembling Base Unit</t>
  </si>
  <si>
    <t>Assembling Base Unit w/Drawers</t>
  </si>
  <si>
    <t>Assembling Base Unit w/Doors</t>
  </si>
  <si>
    <t>Assembling Tall Unit Pantry</t>
  </si>
  <si>
    <t>Assembling Tall Unit Feature - no doors</t>
  </si>
  <si>
    <t>Assembling Oven Stack</t>
  </si>
  <si>
    <t>Assembling Tall Unit Frdge/Freezer</t>
  </si>
  <si>
    <t>Bifold Unit</t>
  </si>
  <si>
    <t>Pocket Sliding Unit</t>
  </si>
  <si>
    <t>Assembling Tall Unit Curved</t>
  </si>
  <si>
    <t>Assembling Base Unit Curved</t>
  </si>
  <si>
    <t>Assembling Hanging Cabinet w/Doors</t>
  </si>
  <si>
    <t>Assembling Hanging Cabinet w/Drawer</t>
  </si>
  <si>
    <t>Pull Rail Allowance</t>
  </si>
  <si>
    <t>Onsite Install</t>
  </si>
  <si>
    <t>Onsite Stone Templating</t>
  </si>
  <si>
    <t>Delivery of Job</t>
  </si>
  <si>
    <t>Assembling Base Unit w/Bin</t>
  </si>
  <si>
    <t>Manufacturing Floating Shelves</t>
  </si>
  <si>
    <t>Sub-Total (exludes GST)</t>
  </si>
  <si>
    <t>Total Labour</t>
  </si>
  <si>
    <t>Total Material</t>
  </si>
  <si>
    <t>Business Markup</t>
  </si>
  <si>
    <t>Overheads Markup</t>
  </si>
  <si>
    <t>TOTAL</t>
  </si>
  <si>
    <t>FINAL TOTAL</t>
  </si>
  <si>
    <t>Materials Percentage</t>
  </si>
  <si>
    <t>Labour Percentage</t>
  </si>
  <si>
    <t xml:space="preserve">Hafele </t>
  </si>
  <si>
    <t>Hardware</t>
  </si>
  <si>
    <t>AXILO Adjustable Legs w/Base Plate</t>
  </si>
  <si>
    <t>HAWA Concepta 50</t>
  </si>
  <si>
    <t>Hafele Slido F-Park</t>
  </si>
  <si>
    <t>600mm</t>
  </si>
  <si>
    <t>HAWA Multifold</t>
  </si>
  <si>
    <t>Up to 2600mm</t>
  </si>
  <si>
    <t>HAWA Concepta 25</t>
  </si>
  <si>
    <t>Up to 1850mm</t>
  </si>
  <si>
    <t>HAWA Concepta 30</t>
  </si>
  <si>
    <t>HAWA Concepta 40</t>
  </si>
  <si>
    <t>Up to 2300mm</t>
  </si>
  <si>
    <t>Up to 2500mm</t>
  </si>
  <si>
    <t>Up to 2850mm</t>
  </si>
  <si>
    <t>Otway Flint MDF 16mm</t>
  </si>
  <si>
    <t>Otway Flint MDF 18mm</t>
  </si>
  <si>
    <t>AbsoluteMatte</t>
  </si>
  <si>
    <t>Otway MDF 18mm</t>
  </si>
  <si>
    <t>Laminate</t>
  </si>
  <si>
    <t>Otway AbsoluteMatte 0.7mm</t>
  </si>
  <si>
    <t>36x15</t>
  </si>
  <si>
    <t>36x7.5</t>
  </si>
  <si>
    <t>Otway AbsoluteMatte 23x1</t>
  </si>
  <si>
    <t>25mtr</t>
  </si>
  <si>
    <t>Oyster Grey Natural 0.7mm</t>
  </si>
  <si>
    <t>Oyster Grey MDF 16mm</t>
  </si>
  <si>
    <t>Otway Flint 21x1</t>
  </si>
  <si>
    <t>Oster Grey Natural 21x1</t>
  </si>
  <si>
    <t>Wilson and Bradley</t>
  </si>
  <si>
    <t>White</t>
  </si>
  <si>
    <t>-</t>
  </si>
  <si>
    <t>Blum ONYX Hinge w/Clip</t>
  </si>
  <si>
    <t>Blum Door Tip-ON</t>
  </si>
  <si>
    <t>Worldwide Timber Traders</t>
  </si>
  <si>
    <t>American Oak C/C MDF 19mm DGB</t>
  </si>
  <si>
    <t>American Oak C/C MDF 19mm G2S</t>
  </si>
  <si>
    <t>Freight</t>
  </si>
  <si>
    <t>Raw</t>
  </si>
  <si>
    <t>Kerfed MDF 9mm</t>
  </si>
  <si>
    <t>Wesco Bin for TANDEMBOX</t>
  </si>
  <si>
    <t>Grey</t>
  </si>
  <si>
    <t>Size/Type</t>
  </si>
  <si>
    <t>Wesco Bin for LEGRABOX</t>
  </si>
  <si>
    <t>Kia Ora Bin for Drawer</t>
  </si>
  <si>
    <t>Orion Grey</t>
  </si>
  <si>
    <t>Colour</t>
  </si>
  <si>
    <t>Veneered Board</t>
  </si>
  <si>
    <t>American Oak U/G 22x0.5</t>
  </si>
  <si>
    <t>Blum LEGRABOX F Height</t>
  </si>
  <si>
    <t>Mini Octopus Warm White</t>
  </si>
  <si>
    <t>1.5m</t>
  </si>
  <si>
    <t>3m</t>
  </si>
  <si>
    <t>6m</t>
  </si>
  <si>
    <t>L&amp;S Downlight Warm White</t>
  </si>
  <si>
    <t>L&amp;S MEC System Driver 70W</t>
  </si>
  <si>
    <t>70W</t>
  </si>
  <si>
    <t>L&amp;S Distributor</t>
  </si>
  <si>
    <t>4 Way</t>
  </si>
  <si>
    <t>American Oak U/G 38x0.5</t>
  </si>
  <si>
    <t>Amer. Black Walnut U/G 38x0.5</t>
  </si>
  <si>
    <t>Bumpons</t>
  </si>
  <si>
    <t>3mm</t>
  </si>
  <si>
    <t>Clear</t>
  </si>
  <si>
    <t>Assembly Screw 4 x 45mm</t>
  </si>
  <si>
    <t>Silver</t>
  </si>
  <si>
    <t>Assembly Screw 4 x 28mm</t>
  </si>
  <si>
    <t>Pillips Head 4.2 x 32mm</t>
  </si>
  <si>
    <t>Euro System Screw 6.3 x 11.5mm</t>
  </si>
  <si>
    <t>Lincoln Sentry</t>
  </si>
  <si>
    <t>Lamello P-14 Clamex</t>
  </si>
  <si>
    <t>Lamello P-14 Tenso</t>
  </si>
  <si>
    <t>P-14</t>
  </si>
  <si>
    <t>Sundries (adhesives, caps, sandpaper, drillbits, etc)</t>
  </si>
  <si>
    <t>OSMO Polyx-Oil</t>
  </si>
  <si>
    <t>2.5L</t>
  </si>
  <si>
    <t>OSMO Top Oil</t>
  </si>
  <si>
    <t>500ml</t>
  </si>
  <si>
    <t>Freight/Pickup</t>
  </si>
  <si>
    <t>Extra Allowances</t>
  </si>
  <si>
    <t>Hours</t>
  </si>
  <si>
    <t>Days</t>
  </si>
  <si>
    <t>Labour Days</t>
  </si>
  <si>
    <t>Labour Hours</t>
  </si>
  <si>
    <t>Labour Weeks</t>
  </si>
  <si>
    <t>Weeks</t>
  </si>
  <si>
    <t>Appliances - receiving/planning/installing</t>
  </si>
  <si>
    <t>Cutlist/Planning</t>
  </si>
  <si>
    <t>Flat Panel</t>
  </si>
  <si>
    <t>Satin</t>
  </si>
  <si>
    <t>Semi Gloss</t>
  </si>
  <si>
    <t>Gloss</t>
  </si>
  <si>
    <t>Shaker Style</t>
  </si>
  <si>
    <t>Dark Colours</t>
  </si>
  <si>
    <t>Polyurethane</t>
  </si>
  <si>
    <t>Rojo Walnut 16mm</t>
  </si>
  <si>
    <t>Rojo Walnut Woodmatt 21x1</t>
  </si>
  <si>
    <t>31x12</t>
  </si>
  <si>
    <t>Rojo Walnut Woodmatt 38x1</t>
  </si>
  <si>
    <t>Frameless Glass</t>
  </si>
  <si>
    <t>Glass</t>
  </si>
  <si>
    <t>Mirror</t>
  </si>
  <si>
    <t>4mm</t>
  </si>
  <si>
    <t>MDF 16mm</t>
  </si>
  <si>
    <t>MDF 18mm</t>
  </si>
  <si>
    <t>Rojo Walnut Woodmatt 0.7mm</t>
  </si>
  <si>
    <t>Consult/Measure/Driving</t>
  </si>
  <si>
    <t>Handles supply and install</t>
  </si>
  <si>
    <t>Stainless Steel Doors</t>
  </si>
  <si>
    <t>Stone Doors</t>
  </si>
  <si>
    <t>Table and table leg</t>
  </si>
  <si>
    <t>Wall Linings</t>
  </si>
  <si>
    <t>Cove 50 16mm</t>
  </si>
  <si>
    <t>27x12</t>
  </si>
  <si>
    <t>36x18</t>
  </si>
  <si>
    <t>Boston Oak 38x1</t>
  </si>
  <si>
    <t>Wall Paint</t>
  </si>
  <si>
    <t>Dulux Interior Wall Paint</t>
  </si>
  <si>
    <t>4Ltr</t>
  </si>
  <si>
    <t>Silicone</t>
  </si>
  <si>
    <t>Gap Filler</t>
  </si>
  <si>
    <t>Soudal Strong as Nails</t>
  </si>
  <si>
    <t>Soudal Strong as Nails Extreme</t>
  </si>
  <si>
    <t>Other Assembling</t>
  </si>
  <si>
    <t>Arabica 18mm</t>
  </si>
  <si>
    <t>Arabica Venette 22x1</t>
  </si>
  <si>
    <t>Assembling Hanging Cabinet Curved</t>
  </si>
  <si>
    <t>Assembling Hanging Cabinet Feature - no doors</t>
  </si>
  <si>
    <t>Location Surcharge</t>
  </si>
  <si>
    <t>Shop Fitout Surcharge</t>
  </si>
  <si>
    <t>excl GST</t>
  </si>
  <si>
    <t>incl GST</t>
  </si>
  <si>
    <t>Stone/Solid Surfaces</t>
  </si>
  <si>
    <t>Upholstery</t>
  </si>
  <si>
    <t>Particle Board 16mm</t>
  </si>
  <si>
    <t>Particle Board 18mm</t>
  </si>
  <si>
    <t>Particle Board 33mm</t>
  </si>
  <si>
    <t>STD MDF 16mm</t>
  </si>
  <si>
    <t>STD MDF 18mm</t>
  </si>
  <si>
    <t>STD MDF 9mm</t>
  </si>
  <si>
    <t>STD MDF 32mm</t>
  </si>
  <si>
    <t>STD MDF 3mm</t>
  </si>
  <si>
    <t>Aquaban 25mm</t>
  </si>
  <si>
    <t>Brushed Gold Metalic 100mtr</t>
  </si>
  <si>
    <t>29x1</t>
  </si>
  <si>
    <t>Craftform V-Groove Bending Board 9mm LONG</t>
  </si>
  <si>
    <t>Craftform V-Groove Bending Board 9mm SHORT</t>
  </si>
  <si>
    <t>Particle Board 25mm</t>
  </si>
  <si>
    <t>Paperbacked Veneer</t>
  </si>
  <si>
    <t>American Oak C/C 0.5mm</t>
  </si>
  <si>
    <t>100X38 29.30 275X50 115.50 125X38 36.60 300X50 126.00 150X38 43.90 175X38 51.20 200X38 58.50 225X38 65.80 250X38 73.20 275X38 80.50 300X38</t>
  </si>
  <si>
    <t>Per Piece</t>
  </si>
  <si>
    <t>Machining</t>
  </si>
  <si>
    <t>300x50</t>
  </si>
  <si>
    <t>American White Oak</t>
  </si>
  <si>
    <t>275x50</t>
  </si>
  <si>
    <t>250x50</t>
  </si>
  <si>
    <t>225x50</t>
  </si>
  <si>
    <t>200x50</t>
  </si>
  <si>
    <t>175x50</t>
  </si>
  <si>
    <t>150x50</t>
  </si>
  <si>
    <t>125x50</t>
  </si>
  <si>
    <t>100x50</t>
  </si>
  <si>
    <t>300x38</t>
  </si>
  <si>
    <t>275x38</t>
  </si>
  <si>
    <t>250x38</t>
  </si>
  <si>
    <t>225x38</t>
  </si>
  <si>
    <t>200x38</t>
  </si>
  <si>
    <t>175x38</t>
  </si>
  <si>
    <t>150x38</t>
  </si>
  <si>
    <t>125x38</t>
  </si>
  <si>
    <t>100x38</t>
  </si>
  <si>
    <t>200x25</t>
  </si>
  <si>
    <t>150x25</t>
  </si>
  <si>
    <t>100x25</t>
  </si>
  <si>
    <t>Timber Species</t>
  </si>
  <si>
    <t>Austim Timbers</t>
  </si>
  <si>
    <t>Cut and Edged</t>
  </si>
  <si>
    <t>Painted</t>
  </si>
  <si>
    <t>Vinyl Wrapped</t>
  </si>
  <si>
    <t>Modernform Doors</t>
  </si>
  <si>
    <t>Oiling Timbers and Sanding</t>
  </si>
  <si>
    <t>VJ Panel</t>
  </si>
  <si>
    <t>Trims</t>
  </si>
  <si>
    <t>STECCAWOOD</t>
  </si>
  <si>
    <t>Boston Oak Woodmatt 3.6m</t>
  </si>
  <si>
    <t>31x65</t>
  </si>
  <si>
    <t>17x34 Half Round</t>
  </si>
  <si>
    <t>34x17 Cove</t>
  </si>
  <si>
    <t>17x38</t>
  </si>
  <si>
    <t>Oiled Legno Natural 16mm</t>
  </si>
  <si>
    <t>Oiled Legno Natural 0.7</t>
  </si>
  <si>
    <t>36x.75</t>
  </si>
  <si>
    <t>Perugian Walnut 16mm</t>
  </si>
  <si>
    <t>Perugian Walnut 3.6m</t>
  </si>
  <si>
    <t>50x70</t>
  </si>
  <si>
    <t>Steel Works</t>
  </si>
  <si>
    <t>Tech7</t>
  </si>
  <si>
    <t>Black Matt</t>
  </si>
  <si>
    <t>Luxe Profile Handle 2.5m</t>
  </si>
  <si>
    <t>Luxe Labour</t>
  </si>
  <si>
    <t xml:space="preserve">Linea Brave  </t>
  </si>
  <si>
    <t>Blum MERIVOBOX M Height</t>
  </si>
  <si>
    <t>Blum MERIVOBOX E Height BOXCAP</t>
  </si>
  <si>
    <t xml:space="preserve">Blum MERIVOBOX INNER M Height </t>
  </si>
  <si>
    <t xml:space="preserve">Blum MERIVOBOX INNER E Height </t>
  </si>
  <si>
    <t>Boston Oak MDF 16mm</t>
  </si>
  <si>
    <t>Boston Oak MDF 18mm</t>
  </si>
  <si>
    <t>Boston Oak MDF 33mm</t>
  </si>
  <si>
    <t>Handles Install</t>
  </si>
  <si>
    <t>Materials</t>
  </si>
  <si>
    <t>Profit</t>
  </si>
  <si>
    <t>78x21</t>
  </si>
  <si>
    <t>Porta Moulding Pinnsacle Tas Oak</t>
  </si>
  <si>
    <t>Cosmic Granite Smooth 0.7mm</t>
  </si>
  <si>
    <t>36x06</t>
  </si>
  <si>
    <t>Zone 1 - Hocking, Landsdale, Wanneroo, Joondalup, Kingsley</t>
  </si>
  <si>
    <t>Zone 2 - Subiaco, Mt Lawley, Nedlands, Claremont, Swan Valley, Victoria Park, Duncraig, Shenton Park, Perth, Shenton Park</t>
  </si>
  <si>
    <t>Zone 3 - Fremantle, Cottesloe, Bicton, Darlington, Lancelin</t>
  </si>
  <si>
    <t>GST</t>
  </si>
  <si>
    <t>Overheads etc</t>
  </si>
  <si>
    <t>Other Works</t>
  </si>
  <si>
    <t>American Oak C/C MDF 4mm G2S</t>
  </si>
  <si>
    <t>American Oak C/C MDF 4mm G1S/BAMO</t>
  </si>
  <si>
    <t>American Oak C/C MDF 17mm G2S</t>
  </si>
  <si>
    <t>American Oak C/C MDF 33mm G2S</t>
  </si>
  <si>
    <t>American Oak C/C MDF 33mm G1S/BAMO</t>
  </si>
  <si>
    <t>American Oak C/C MDF 19mm G1S/BAMO</t>
  </si>
  <si>
    <t>American Oak C/C MDF 17mm G1S/BAMO</t>
  </si>
  <si>
    <t>p/Days</t>
  </si>
  <si>
    <t>p/Rooms</t>
  </si>
  <si>
    <t>Elton Evenex Forte 18mm</t>
  </si>
  <si>
    <t>30x12</t>
  </si>
  <si>
    <t>EDGING Elton Evenex Forte 23x1</t>
  </si>
  <si>
    <t>EDGING Elton Evenex Forte 38x1</t>
  </si>
  <si>
    <t>50mtr</t>
  </si>
  <si>
    <t>l/m</t>
  </si>
  <si>
    <t>Porta Cirque TAS OAK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</si>
</sst>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7" formatCode="&quot;$&quot;#,##0.00;\-&quot;$&quot;#,##0.00"/>
    <numFmt numFmtId="164" formatCode="&quot;$&quot;#,##0.00"/>
    <numFmt numFmtId="165" formatCode="@\&amp;&quot;mm&quot;"/>
    <numFmt numFmtId="166" formatCode="0.0"/>
    <numFmt numFmtId="167" formatCode="&quot;Zone &quot;0"/>
    <numFmt numFmtId="168" formatCode="&quot;$&quot;#,##0.0;\-&quot;$&quot;#,##0.0"/>
    <numFmt numFmtId="169" formatCode="&quot;$&quot;#,##0"/>
    <numFmt numFmtId="170" formatCode="0.0&quot;%&quot;"/>
  </numFmts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0"/>
      <color theme="1"/>
      <name val="Aptos Display"/>
      <family val="2"/>
      <scheme val="major"/>
    </font>
    <font>
      <b/>
      <sz val="10"/>
      <color theme="1"/>
      <name val="Aptos Display"/>
      <family val="2"/>
      <scheme val="major"/>
    </font>
    <font>
      <sz val="12"/>
      <color rgb="FF22222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CB97"/>
        <bgColor indexed="64"/>
      </patternFill>
    </fill>
  </fills>
  <borders count="5">
    <border>
      <left/>
      <right/>
      <top/>
      <bottom/>
      <diagonal/>
    </border>
    <border>
      <left/>
      <right style="thin">
        <color theme="5" tint="0.39997558519241921"/>
      </right>
      <top/>
      <bottom/>
      <diagonal/>
    </border>
    <border>
      <left/>
      <right/>
      <top/>
      <bottom style="thin">
        <color theme="5" tint="0.39997558519241921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164" fontId="0" fillId="0" borderId="0" xfId="0" applyNumberFormat="1"/>
    <xf numFmtId="0" fontId="2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164" fontId="0" fillId="0" borderId="0" xfId="0" applyNumberFormat="1" applyAlignment="1">
      <alignment horizontal="left"/>
    </xf>
    <xf numFmtId="164" fontId="0" fillId="0" borderId="1" xfId="0" applyNumberFormat="1" applyBorder="1" applyAlignment="1">
      <alignment horizontal="left"/>
    </xf>
    <xf numFmtId="0" fontId="0" fillId="0" borderId="2" xfId="0" applyBorder="1" applyAlignment="1">
      <alignment horizontal="left"/>
    </xf>
    <xf numFmtId="0" fontId="0" fillId="2" borderId="3" xfId="0" applyFill="1" applyBorder="1" applyAlignment="1">
      <alignment horizontal="left"/>
    </xf>
    <xf numFmtId="7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5" fontId="0" fillId="0" borderId="0" xfId="0" applyNumberFormat="1"/>
    <xf numFmtId="7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center"/>
    </xf>
    <xf numFmtId="166" fontId="0" fillId="0" borderId="0" xfId="0" applyNumberFormat="1" applyAlignment="1">
      <alignment horizontal="center"/>
    </xf>
    <xf numFmtId="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0" fontId="3" fillId="0" borderId="0" xfId="0" applyFont="1"/>
    <xf numFmtId="168" fontId="3" fillId="0" borderId="0" xfId="0" applyNumberFormat="1" applyFont="1" applyAlignment="1">
      <alignment horizontal="left"/>
    </xf>
    <xf numFmtId="169" fontId="3" fillId="0" borderId="0" xfId="0" applyNumberFormat="1" applyFont="1" applyAlignment="1">
      <alignment horizontal="left"/>
    </xf>
    <xf numFmtId="9" fontId="3" fillId="0" borderId="0" xfId="0" applyNumberFormat="1" applyFont="1" applyAlignment="1">
      <alignment horizontal="center"/>
    </xf>
    <xf numFmtId="168" fontId="3" fillId="0" borderId="0" xfId="0" applyNumberFormat="1" applyFont="1" applyAlignment="1">
      <alignment horizontal="center"/>
    </xf>
    <xf numFmtId="0" fontId="4" fillId="0" borderId="0" xfId="0" applyFont="1"/>
    <xf numFmtId="168" fontId="4" fillId="0" borderId="0" xfId="0" applyNumberFormat="1" applyFont="1" applyAlignment="1">
      <alignment horizontal="left"/>
    </xf>
    <xf numFmtId="7" fontId="0" fillId="0" borderId="0" xfId="0" applyNumberFormat="1"/>
    <xf numFmtId="170" fontId="0" fillId="0" borderId="0" xfId="0" applyNumberFormat="1"/>
    <xf numFmtId="0" fontId="0" fillId="0" borderId="0" xfId="0" applyAlignment="1">
      <alignment horizontal="left" indent="1"/>
    </xf>
    <xf numFmtId="0" fontId="5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2" borderId="4" xfId="0" applyFill="1" applyBorder="1" applyAlignment="1">
      <alignment horizontal="left"/>
    </xf>
    <xf numFmtId="3" fontId="0" fillId="0" borderId="0" xfId="0" applyNumberForma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0" xfId="0" applyNumberForma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6D900"/>
      <color rgb="FFFFCB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LABOUR / MATERIALS RATIO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604970674961927"/>
          <c:y val="0.15575850443160283"/>
          <c:w val="0.68790091053433133"/>
          <c:h val="0.70198380523962134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DBF-40C1-9387-3D27F4D1A56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DBF-40C1-9387-3D27F4D1A561}"/>
              </c:ext>
            </c:extLst>
          </c:dPt>
          <c:cat>
            <c:strRef>
              <c:f>'Final Costings'!$F$4:$F$5</c:f>
              <c:strCache>
                <c:ptCount val="2"/>
                <c:pt idx="0">
                  <c:v>Labour Percentage</c:v>
                </c:pt>
                <c:pt idx="1">
                  <c:v>Materials Percentage</c:v>
                </c:pt>
              </c:strCache>
            </c:strRef>
          </c:cat>
          <c:val>
            <c:numRef>
              <c:f>'Final Costings'!$G$4:$G$5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19-402B-B865-7B77F1167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PROFIT RATIO</a:t>
            </a:r>
            <a:r>
              <a:rPr lang="en-AU" baseline="0"/>
              <a:t> - PROFIT IS GREEN!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AU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C29-4925-8833-C5CD0A1A5B6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C29-4925-8833-C5CD0A1A5B6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C29-4925-8833-C5CD0A1A5B6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C29-4925-8833-C5CD0A1A5B6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C29-4925-8833-C5CD0A1A5B68}"/>
              </c:ext>
            </c:extLst>
          </c:dPt>
          <c:dPt>
            <c:idx val="5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D94-41EE-A39B-5423B727B57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'Final Costings'!$P$4:$P$9</c:f>
              <c:strCache>
                <c:ptCount val="6"/>
                <c:pt idx="0">
                  <c:v>Materials</c:v>
                </c:pt>
                <c:pt idx="1">
                  <c:v>Labour</c:v>
                </c:pt>
                <c:pt idx="2">
                  <c:v>Profit</c:v>
                </c:pt>
                <c:pt idx="3">
                  <c:v>Overheads etc</c:v>
                </c:pt>
                <c:pt idx="4">
                  <c:v>Other Works</c:v>
                </c:pt>
                <c:pt idx="5">
                  <c:v>GST</c:v>
                </c:pt>
              </c:strCache>
            </c:strRef>
          </c:cat>
          <c:val>
            <c:numRef>
              <c:f>'Final Costings'!$Q$4:$Q$9</c:f>
              <c:numCache>
                <c:formatCode>"$"#,##0.00_);\("$"#,##0.00\)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94-41EE-A39B-5423B727B57F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</xdr:colOff>
      <xdr:row>3</xdr:row>
      <xdr:rowOff>4762</xdr:rowOff>
    </xdr:from>
    <xdr:to>
      <xdr:col>13</xdr:col>
      <xdr:colOff>152401</xdr:colOff>
      <xdr:row>17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5DE27BF-3A6D-9907-1957-C5CF5C44A2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14287</xdr:colOff>
      <xdr:row>17</xdr:row>
      <xdr:rowOff>109536</xdr:rowOff>
    </xdr:from>
    <xdr:to>
      <xdr:col>17</xdr:col>
      <xdr:colOff>19050</xdr:colOff>
      <xdr:row>35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8E740FB-80EF-8069-6ABB-2A0D345EF9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81E06-30CE-4189-B0B3-64C9DA8EB248}">
  <sheetPr codeName="Sheet1"/>
  <dimension ref="B2:M55"/>
  <sheetViews>
    <sheetView workbookViewId="0">
      <selection activeCell="E23" sqref="E23"/>
    </sheetView>
  </sheetViews>
  <sheetFormatPr defaultRowHeight="15" x14ac:dyDescent="0.25"/>
  <cols>
    <col min="1" max="1" width="3.5703125" customWidth="1"/>
    <col min="2" max="2" width="35.85546875" customWidth="1"/>
    <col min="3" max="3" width="13.5703125" bestFit="1" customWidth="1"/>
    <col min="4" max="4" width="10" style="4" customWidth="1"/>
    <col min="13" max="13" width="9.140625" bestFit="1" customWidth="1"/>
  </cols>
  <sheetData>
    <row r="2" spans="2:13" x14ac:dyDescent="0.25">
      <c r="B2" s="1" t="s">
        <v>240</v>
      </c>
    </row>
    <row r="4" spans="2:13" x14ac:dyDescent="0.25">
      <c r="B4" s="1" t="s">
        <v>239</v>
      </c>
      <c r="C4" s="1" t="s">
        <v>11</v>
      </c>
      <c r="D4" s="5" t="s">
        <v>1</v>
      </c>
      <c r="E4" s="1"/>
      <c r="F4" s="1" t="s">
        <v>2</v>
      </c>
      <c r="J4" s="30" t="s">
        <v>55</v>
      </c>
      <c r="K4" s="30"/>
      <c r="L4" s="30"/>
      <c r="M4" s="2">
        <f>SUM(F5:F58)</f>
        <v>0</v>
      </c>
    </row>
    <row r="5" spans="2:13" x14ac:dyDescent="0.25">
      <c r="D5" s="6"/>
    </row>
    <row r="6" spans="2:13" x14ac:dyDescent="0.25">
      <c r="B6" t="s">
        <v>218</v>
      </c>
      <c r="C6" s="4" t="s">
        <v>238</v>
      </c>
      <c r="D6" s="6">
        <v>11.7</v>
      </c>
      <c r="E6" s="9"/>
      <c r="F6" s="6">
        <f>D6*E6</f>
        <v>0</v>
      </c>
    </row>
    <row r="7" spans="2:13" x14ac:dyDescent="0.25">
      <c r="B7" t="s">
        <v>218</v>
      </c>
      <c r="C7" s="4" t="s">
        <v>237</v>
      </c>
      <c r="D7" s="6">
        <v>23.6</v>
      </c>
      <c r="E7" s="9"/>
      <c r="F7" s="6">
        <f>D7*E7</f>
        <v>0</v>
      </c>
    </row>
    <row r="8" spans="2:13" x14ac:dyDescent="0.25">
      <c r="B8" t="s">
        <v>218</v>
      </c>
      <c r="C8" t="s">
        <v>236</v>
      </c>
      <c r="D8" s="6">
        <v>32.5</v>
      </c>
      <c r="E8" s="9"/>
      <c r="F8" s="6">
        <f>D8*E8</f>
        <v>0</v>
      </c>
    </row>
    <row r="9" spans="2:13" x14ac:dyDescent="0.25">
      <c r="D9" s="6"/>
      <c r="E9" s="6"/>
      <c r="F9" s="6"/>
    </row>
    <row r="10" spans="2:13" x14ac:dyDescent="0.25">
      <c r="B10" t="s">
        <v>218</v>
      </c>
      <c r="C10" t="s">
        <v>235</v>
      </c>
      <c r="D10" s="6">
        <v>29.3</v>
      </c>
      <c r="E10" s="9"/>
      <c r="F10" s="6">
        <f t="shared" ref="F10:F18" si="0">D10*E10</f>
        <v>0</v>
      </c>
    </row>
    <row r="11" spans="2:13" x14ac:dyDescent="0.25">
      <c r="B11" t="s">
        <v>218</v>
      </c>
      <c r="C11" t="s">
        <v>234</v>
      </c>
      <c r="D11" s="6">
        <v>36.6</v>
      </c>
      <c r="E11" s="9"/>
      <c r="F11" s="6">
        <f t="shared" si="0"/>
        <v>0</v>
      </c>
    </row>
    <row r="12" spans="2:13" x14ac:dyDescent="0.25">
      <c r="B12" t="s">
        <v>218</v>
      </c>
      <c r="C12" t="s">
        <v>233</v>
      </c>
      <c r="D12" s="6">
        <v>43.9</v>
      </c>
      <c r="E12" s="9"/>
      <c r="F12" s="6">
        <f t="shared" si="0"/>
        <v>0</v>
      </c>
    </row>
    <row r="13" spans="2:13" x14ac:dyDescent="0.25">
      <c r="B13" t="s">
        <v>218</v>
      </c>
      <c r="C13" t="s">
        <v>232</v>
      </c>
      <c r="D13" s="6">
        <v>51.2</v>
      </c>
      <c r="E13" s="9"/>
      <c r="F13" s="6">
        <f t="shared" si="0"/>
        <v>0</v>
      </c>
    </row>
    <row r="14" spans="2:13" x14ac:dyDescent="0.25">
      <c r="B14" t="s">
        <v>218</v>
      </c>
      <c r="C14" t="s">
        <v>231</v>
      </c>
      <c r="D14" s="6">
        <v>58.5</v>
      </c>
      <c r="E14" s="9"/>
      <c r="F14" s="6">
        <f t="shared" si="0"/>
        <v>0</v>
      </c>
    </row>
    <row r="15" spans="2:13" x14ac:dyDescent="0.25">
      <c r="B15" t="s">
        <v>218</v>
      </c>
      <c r="C15" t="s">
        <v>230</v>
      </c>
      <c r="D15" s="6">
        <v>65.8</v>
      </c>
      <c r="E15" s="9"/>
      <c r="F15" s="6">
        <f t="shared" si="0"/>
        <v>0</v>
      </c>
    </row>
    <row r="16" spans="2:13" x14ac:dyDescent="0.25">
      <c r="B16" t="s">
        <v>218</v>
      </c>
      <c r="C16" t="s">
        <v>229</v>
      </c>
      <c r="D16" s="6">
        <v>73.2</v>
      </c>
      <c r="E16" s="9"/>
      <c r="F16" s="6">
        <f t="shared" si="0"/>
        <v>0</v>
      </c>
    </row>
    <row r="17" spans="2:6" x14ac:dyDescent="0.25">
      <c r="B17" t="s">
        <v>218</v>
      </c>
      <c r="C17" t="s">
        <v>228</v>
      </c>
      <c r="D17" s="6">
        <v>80.5</v>
      </c>
      <c r="E17" s="9"/>
      <c r="F17" s="6">
        <f t="shared" si="0"/>
        <v>0</v>
      </c>
    </row>
    <row r="18" spans="2:6" x14ac:dyDescent="0.25">
      <c r="B18" t="s">
        <v>218</v>
      </c>
      <c r="C18" t="s">
        <v>227</v>
      </c>
      <c r="D18" s="6">
        <v>87.8</v>
      </c>
      <c r="E18" s="9"/>
      <c r="F18" s="6">
        <f t="shared" si="0"/>
        <v>0</v>
      </c>
    </row>
    <row r="19" spans="2:6" x14ac:dyDescent="0.25">
      <c r="D19" s="6"/>
      <c r="E19" s="6"/>
      <c r="F19" s="6"/>
    </row>
    <row r="20" spans="2:6" x14ac:dyDescent="0.25">
      <c r="B20" t="s">
        <v>218</v>
      </c>
      <c r="C20" t="s">
        <v>226</v>
      </c>
      <c r="D20" s="6">
        <v>42</v>
      </c>
      <c r="E20" s="9"/>
      <c r="F20" s="6">
        <f t="shared" ref="F20:F28" si="1">D20*E20</f>
        <v>0</v>
      </c>
    </row>
    <row r="21" spans="2:6" x14ac:dyDescent="0.25">
      <c r="B21" t="s">
        <v>218</v>
      </c>
      <c r="C21" t="s">
        <v>225</v>
      </c>
      <c r="D21" s="6">
        <v>52.5</v>
      </c>
      <c r="E21" s="9"/>
      <c r="F21" s="6">
        <f t="shared" si="1"/>
        <v>0</v>
      </c>
    </row>
    <row r="22" spans="2:6" x14ac:dyDescent="0.25">
      <c r="B22" t="s">
        <v>218</v>
      </c>
      <c r="C22" t="s">
        <v>224</v>
      </c>
      <c r="D22" s="6">
        <v>63</v>
      </c>
      <c r="E22" s="9"/>
      <c r="F22" s="6">
        <f t="shared" si="1"/>
        <v>0</v>
      </c>
    </row>
    <row r="23" spans="2:6" x14ac:dyDescent="0.25">
      <c r="B23" t="s">
        <v>218</v>
      </c>
      <c r="C23" t="s">
        <v>223</v>
      </c>
      <c r="D23" s="6">
        <v>73.5</v>
      </c>
      <c r="E23" s="9"/>
      <c r="F23" s="6">
        <f t="shared" si="1"/>
        <v>0</v>
      </c>
    </row>
    <row r="24" spans="2:6" x14ac:dyDescent="0.25">
      <c r="B24" t="s">
        <v>218</v>
      </c>
      <c r="C24" t="s">
        <v>222</v>
      </c>
      <c r="D24" s="6">
        <v>84</v>
      </c>
      <c r="E24" s="9"/>
      <c r="F24" s="6">
        <f t="shared" si="1"/>
        <v>0</v>
      </c>
    </row>
    <row r="25" spans="2:6" x14ac:dyDescent="0.25">
      <c r="B25" t="s">
        <v>218</v>
      </c>
      <c r="C25" t="s">
        <v>221</v>
      </c>
      <c r="D25" s="6">
        <v>94.5</v>
      </c>
      <c r="E25" s="9"/>
      <c r="F25" s="6">
        <f t="shared" si="1"/>
        <v>0</v>
      </c>
    </row>
    <row r="26" spans="2:6" x14ac:dyDescent="0.25">
      <c r="B26" t="s">
        <v>218</v>
      </c>
      <c r="C26" t="s">
        <v>220</v>
      </c>
      <c r="D26" s="6">
        <v>105</v>
      </c>
      <c r="E26" s="9"/>
      <c r="F26" s="6">
        <f t="shared" si="1"/>
        <v>0</v>
      </c>
    </row>
    <row r="27" spans="2:6" x14ac:dyDescent="0.25">
      <c r="B27" t="s">
        <v>218</v>
      </c>
      <c r="C27" t="s">
        <v>219</v>
      </c>
      <c r="D27" s="6">
        <v>115.5</v>
      </c>
      <c r="E27" s="9"/>
      <c r="F27" s="6">
        <f t="shared" si="1"/>
        <v>0</v>
      </c>
    </row>
    <row r="28" spans="2:6" x14ac:dyDescent="0.25">
      <c r="B28" t="s">
        <v>218</v>
      </c>
      <c r="C28" t="s">
        <v>217</v>
      </c>
      <c r="D28" s="6">
        <v>126</v>
      </c>
      <c r="E28" s="9"/>
      <c r="F28" s="6">
        <f t="shared" si="1"/>
        <v>0</v>
      </c>
    </row>
    <row r="29" spans="2:6" x14ac:dyDescent="0.25">
      <c r="D29" s="6"/>
    </row>
    <row r="30" spans="2:6" x14ac:dyDescent="0.25">
      <c r="B30" t="s">
        <v>277</v>
      </c>
      <c r="C30" t="s">
        <v>276</v>
      </c>
      <c r="D30" s="6">
        <v>4204</v>
      </c>
      <c r="E30" s="9"/>
      <c r="F30" s="6">
        <f t="shared" ref="F30" si="2">D30*E30</f>
        <v>0</v>
      </c>
    </row>
    <row r="31" spans="2:6" x14ac:dyDescent="0.25">
      <c r="D31" s="6"/>
    </row>
    <row r="32" spans="2:6" x14ac:dyDescent="0.25">
      <c r="D32" s="6"/>
    </row>
    <row r="33" spans="2:13" x14ac:dyDescent="0.25">
      <c r="B33" t="s">
        <v>216</v>
      </c>
      <c r="C33" t="s">
        <v>215</v>
      </c>
      <c r="D33" s="6">
        <v>35</v>
      </c>
      <c r="E33" s="9"/>
      <c r="F33" s="6">
        <f>D33*E33</f>
        <v>0</v>
      </c>
    </row>
    <row r="34" spans="2:13" x14ac:dyDescent="0.25">
      <c r="D34" s="6"/>
    </row>
    <row r="35" spans="2:13" x14ac:dyDescent="0.25">
      <c r="B35" t="s">
        <v>142</v>
      </c>
      <c r="D35" s="6">
        <v>100</v>
      </c>
      <c r="E35" s="9"/>
      <c r="F35" s="6">
        <f>D35*E35</f>
        <v>0</v>
      </c>
    </row>
    <row r="36" spans="2:13" x14ac:dyDescent="0.25">
      <c r="D36" s="6"/>
    </row>
    <row r="37" spans="2:13" x14ac:dyDescent="0.25">
      <c r="D37" s="6"/>
    </row>
    <row r="38" spans="2:13" x14ac:dyDescent="0.25">
      <c r="D38" s="6"/>
    </row>
    <row r="39" spans="2:13" x14ac:dyDescent="0.25">
      <c r="D39" s="6"/>
    </row>
    <row r="40" spans="2:13" x14ac:dyDescent="0.25">
      <c r="D40" s="6"/>
    </row>
    <row r="41" spans="2:13" x14ac:dyDescent="0.25">
      <c r="D41" s="6"/>
      <c r="M41" t="s">
        <v>214</v>
      </c>
    </row>
    <row r="42" spans="2:13" x14ac:dyDescent="0.25">
      <c r="D42" s="6"/>
    </row>
    <row r="43" spans="2:13" x14ac:dyDescent="0.25">
      <c r="D43" s="6"/>
    </row>
    <row r="44" spans="2:13" x14ac:dyDescent="0.25">
      <c r="D44" s="6"/>
    </row>
    <row r="45" spans="2:13" x14ac:dyDescent="0.25">
      <c r="D45" s="6"/>
    </row>
    <row r="46" spans="2:13" x14ac:dyDescent="0.25">
      <c r="D46" s="6"/>
    </row>
    <row r="47" spans="2:13" x14ac:dyDescent="0.25">
      <c r="D47" s="6"/>
    </row>
    <row r="48" spans="2:13" x14ac:dyDescent="0.25">
      <c r="D48" s="6"/>
    </row>
    <row r="49" spans="4:4" x14ac:dyDescent="0.25">
      <c r="D49" s="6"/>
    </row>
    <row r="50" spans="4:4" x14ac:dyDescent="0.25">
      <c r="D50" s="6"/>
    </row>
    <row r="51" spans="4:4" x14ac:dyDescent="0.25">
      <c r="D51" s="6"/>
    </row>
    <row r="52" spans="4:4" x14ac:dyDescent="0.25">
      <c r="D52" s="6"/>
    </row>
    <row r="53" spans="4:4" x14ac:dyDescent="0.25">
      <c r="D53" s="6"/>
    </row>
    <row r="54" spans="4:4" x14ac:dyDescent="0.25">
      <c r="D54" s="6"/>
    </row>
    <row r="55" spans="4:4" x14ac:dyDescent="0.25">
      <c r="D55" s="6"/>
    </row>
  </sheetData>
  <mergeCells count="1">
    <mergeCell ref="J4:L4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BC6DB-FDC0-47BF-AEEF-4C7261A34985}">
  <sheetPr codeName="Sheet2"/>
  <dimension ref="B2:M32"/>
  <sheetViews>
    <sheetView workbookViewId="0">
      <selection activeCell="E8" sqref="E8"/>
    </sheetView>
  </sheetViews>
  <sheetFormatPr defaultRowHeight="15" x14ac:dyDescent="0.25"/>
  <cols>
    <col min="1" max="1" width="3.5703125" customWidth="1"/>
    <col min="2" max="2" width="35.85546875" customWidth="1"/>
    <col min="3" max="3" width="13.5703125" bestFit="1" customWidth="1"/>
    <col min="4" max="4" width="10" style="4" customWidth="1"/>
  </cols>
  <sheetData>
    <row r="2" spans="2:13" x14ac:dyDescent="0.25">
      <c r="B2" s="1" t="s">
        <v>244</v>
      </c>
    </row>
    <row r="4" spans="2:13" x14ac:dyDescent="0.25">
      <c r="B4" s="1" t="s">
        <v>164</v>
      </c>
      <c r="C4" s="1" t="s">
        <v>106</v>
      </c>
      <c r="D4" s="5" t="s">
        <v>1</v>
      </c>
      <c r="E4" s="1"/>
      <c r="F4" s="1" t="s">
        <v>2</v>
      </c>
      <c r="J4" s="30" t="s">
        <v>55</v>
      </c>
      <c r="K4" s="30"/>
      <c r="L4" s="30"/>
      <c r="M4" s="2">
        <f>SUM(F5:F35)</f>
        <v>0</v>
      </c>
    </row>
    <row r="5" spans="2:13" x14ac:dyDescent="0.25">
      <c r="D5" s="6"/>
    </row>
    <row r="6" spans="2:13" x14ac:dyDescent="0.25">
      <c r="B6" t="s">
        <v>243</v>
      </c>
      <c r="C6" s="4"/>
      <c r="D6" s="6">
        <v>5608.57</v>
      </c>
      <c r="E6" s="9"/>
      <c r="F6" s="6">
        <f>D6*E6</f>
        <v>0</v>
      </c>
    </row>
    <row r="7" spans="2:13" x14ac:dyDescent="0.25">
      <c r="B7" t="s">
        <v>242</v>
      </c>
      <c r="C7" s="4"/>
      <c r="D7" s="6">
        <v>760</v>
      </c>
      <c r="E7" s="9"/>
      <c r="F7" s="6">
        <f>D7*E7</f>
        <v>0</v>
      </c>
    </row>
    <row r="8" spans="2:13" x14ac:dyDescent="0.25">
      <c r="B8" t="s">
        <v>241</v>
      </c>
      <c r="C8" s="4"/>
      <c r="D8" s="6">
        <v>0</v>
      </c>
      <c r="E8" s="9"/>
      <c r="F8" s="6">
        <f>D8*E8</f>
        <v>0</v>
      </c>
    </row>
    <row r="9" spans="2:13" x14ac:dyDescent="0.25">
      <c r="B9" t="s">
        <v>246</v>
      </c>
      <c r="D9" s="6">
        <v>645.23</v>
      </c>
      <c r="E9" s="9"/>
      <c r="F9" s="6">
        <f>D9*E9</f>
        <v>0</v>
      </c>
    </row>
    <row r="10" spans="2:13" x14ac:dyDescent="0.25">
      <c r="B10" t="s">
        <v>247</v>
      </c>
      <c r="D10" s="6">
        <v>500</v>
      </c>
      <c r="E10" s="9"/>
      <c r="F10" s="6">
        <f>D10*E10</f>
        <v>0</v>
      </c>
    </row>
    <row r="11" spans="2:13" x14ac:dyDescent="0.25">
      <c r="D11" s="6"/>
    </row>
    <row r="12" spans="2:13" x14ac:dyDescent="0.25">
      <c r="B12" t="s">
        <v>142</v>
      </c>
      <c r="D12" s="6">
        <v>100</v>
      </c>
      <c r="E12" s="9"/>
      <c r="F12" s="6">
        <f>D12*E12</f>
        <v>0</v>
      </c>
    </row>
    <row r="13" spans="2:13" x14ac:dyDescent="0.25">
      <c r="D13" s="6"/>
    </row>
    <row r="14" spans="2:13" x14ac:dyDescent="0.25">
      <c r="D14" s="6"/>
    </row>
    <row r="15" spans="2:13" x14ac:dyDescent="0.25">
      <c r="D15" s="6"/>
    </row>
    <row r="16" spans="2:13" x14ac:dyDescent="0.25">
      <c r="D16" s="6"/>
    </row>
    <row r="17" spans="4:4" x14ac:dyDescent="0.25">
      <c r="D17" s="6"/>
    </row>
    <row r="18" spans="4:4" x14ac:dyDescent="0.25">
      <c r="D18" s="6"/>
    </row>
    <row r="19" spans="4:4" x14ac:dyDescent="0.25">
      <c r="D19" s="6"/>
    </row>
    <row r="20" spans="4:4" x14ac:dyDescent="0.25">
      <c r="D20" s="6"/>
    </row>
    <row r="21" spans="4:4" x14ac:dyDescent="0.25">
      <c r="D21" s="6"/>
    </row>
    <row r="22" spans="4:4" x14ac:dyDescent="0.25">
      <c r="D22" s="6"/>
    </row>
    <row r="23" spans="4:4" x14ac:dyDescent="0.25">
      <c r="D23" s="6"/>
    </row>
    <row r="24" spans="4:4" x14ac:dyDescent="0.25">
      <c r="D24" s="6"/>
    </row>
    <row r="25" spans="4:4" x14ac:dyDescent="0.25">
      <c r="D25" s="6"/>
    </row>
    <row r="26" spans="4:4" x14ac:dyDescent="0.25">
      <c r="D26" s="6"/>
    </row>
    <row r="27" spans="4:4" x14ac:dyDescent="0.25">
      <c r="D27" s="6"/>
    </row>
    <row r="28" spans="4:4" x14ac:dyDescent="0.25">
      <c r="D28" s="6"/>
    </row>
    <row r="29" spans="4:4" x14ac:dyDescent="0.25">
      <c r="D29" s="6"/>
    </row>
    <row r="30" spans="4:4" x14ac:dyDescent="0.25">
      <c r="D30" s="6"/>
    </row>
    <row r="31" spans="4:4" x14ac:dyDescent="0.25">
      <c r="D31" s="6"/>
    </row>
    <row r="32" spans="4:4" x14ac:dyDescent="0.25">
      <c r="D32" s="6"/>
    </row>
  </sheetData>
  <mergeCells count="1">
    <mergeCell ref="J4:L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7543A-A822-4723-837C-2A3E7DEF2D00}">
  <sheetPr codeName="Sheet3"/>
  <dimension ref="B2:M32"/>
  <sheetViews>
    <sheetView workbookViewId="0">
      <selection activeCell="E13" sqref="E13"/>
    </sheetView>
  </sheetViews>
  <sheetFormatPr defaultRowHeight="15" x14ac:dyDescent="0.25"/>
  <cols>
    <col min="1" max="1" width="3.5703125" customWidth="1"/>
    <col min="2" max="2" width="35.85546875" customWidth="1"/>
    <col min="3" max="3" width="13.5703125" bestFit="1" customWidth="1"/>
    <col min="4" max="4" width="10" style="4" customWidth="1"/>
  </cols>
  <sheetData>
    <row r="2" spans="2:13" x14ac:dyDescent="0.25">
      <c r="B2" s="1" t="s">
        <v>163</v>
      </c>
    </row>
    <row r="4" spans="2:13" x14ac:dyDescent="0.25">
      <c r="B4" s="1" t="s">
        <v>164</v>
      </c>
      <c r="C4" s="1" t="s">
        <v>106</v>
      </c>
      <c r="D4" s="5" t="s">
        <v>1</v>
      </c>
      <c r="E4" s="1"/>
      <c r="F4" s="1" t="s">
        <v>2</v>
      </c>
      <c r="J4" s="30" t="s">
        <v>55</v>
      </c>
      <c r="K4" s="30"/>
      <c r="L4" s="30"/>
      <c r="M4" s="2">
        <f>SUM(F5:F35)</f>
        <v>0</v>
      </c>
    </row>
    <row r="5" spans="2:13" x14ac:dyDescent="0.25">
      <c r="D5" s="6"/>
    </row>
    <row r="6" spans="2:13" x14ac:dyDescent="0.25">
      <c r="B6" t="s">
        <v>166</v>
      </c>
      <c r="C6" s="4" t="s">
        <v>165</v>
      </c>
      <c r="D6" s="6">
        <v>150</v>
      </c>
      <c r="E6" s="9"/>
      <c r="F6" s="6">
        <f>D6*E6</f>
        <v>0</v>
      </c>
    </row>
    <row r="7" spans="2:13" x14ac:dyDescent="0.25">
      <c r="D7" s="6"/>
    </row>
    <row r="8" spans="2:13" x14ac:dyDescent="0.25">
      <c r="D8" s="6"/>
    </row>
    <row r="9" spans="2:13" x14ac:dyDescent="0.25">
      <c r="D9" s="6"/>
    </row>
    <row r="10" spans="2:13" x14ac:dyDescent="0.25">
      <c r="D10" s="6"/>
    </row>
    <row r="11" spans="2:13" x14ac:dyDescent="0.25">
      <c r="D11" s="6"/>
    </row>
    <row r="12" spans="2:13" x14ac:dyDescent="0.25">
      <c r="B12" t="s">
        <v>142</v>
      </c>
      <c r="D12" s="6">
        <v>100</v>
      </c>
      <c r="E12" s="9"/>
      <c r="F12" s="6">
        <f>D12*E12</f>
        <v>0</v>
      </c>
    </row>
    <row r="13" spans="2:13" x14ac:dyDescent="0.25">
      <c r="D13" s="6"/>
    </row>
    <row r="14" spans="2:13" x14ac:dyDescent="0.25">
      <c r="D14" s="6"/>
    </row>
    <row r="15" spans="2:13" x14ac:dyDescent="0.25">
      <c r="D15" s="6"/>
    </row>
    <row r="16" spans="2:13" x14ac:dyDescent="0.25">
      <c r="D16" s="6"/>
    </row>
    <row r="17" spans="4:4" x14ac:dyDescent="0.25">
      <c r="D17" s="6"/>
    </row>
    <row r="18" spans="4:4" x14ac:dyDescent="0.25">
      <c r="D18" s="6"/>
    </row>
    <row r="19" spans="4:4" x14ac:dyDescent="0.25">
      <c r="D19" s="6"/>
    </row>
    <row r="20" spans="4:4" x14ac:dyDescent="0.25">
      <c r="D20" s="6"/>
    </row>
    <row r="21" spans="4:4" x14ac:dyDescent="0.25">
      <c r="D21" s="6"/>
    </row>
    <row r="22" spans="4:4" x14ac:dyDescent="0.25">
      <c r="D22" s="6"/>
    </row>
    <row r="23" spans="4:4" x14ac:dyDescent="0.25">
      <c r="D23" s="6"/>
    </row>
    <row r="24" spans="4:4" x14ac:dyDescent="0.25">
      <c r="D24" s="6"/>
    </row>
    <row r="25" spans="4:4" x14ac:dyDescent="0.25">
      <c r="D25" s="6"/>
    </row>
    <row r="26" spans="4:4" x14ac:dyDescent="0.25">
      <c r="D26" s="6"/>
    </row>
    <row r="27" spans="4:4" x14ac:dyDescent="0.25">
      <c r="D27" s="6"/>
    </row>
    <row r="28" spans="4:4" x14ac:dyDescent="0.25">
      <c r="D28" s="6"/>
    </row>
    <row r="29" spans="4:4" x14ac:dyDescent="0.25">
      <c r="D29" s="6"/>
    </row>
    <row r="30" spans="4:4" x14ac:dyDescent="0.25">
      <c r="D30" s="6"/>
    </row>
    <row r="31" spans="4:4" x14ac:dyDescent="0.25">
      <c r="D31" s="6"/>
    </row>
    <row r="32" spans="4:4" x14ac:dyDescent="0.25">
      <c r="D32" s="6"/>
    </row>
  </sheetData>
  <mergeCells count="1">
    <mergeCell ref="J4:L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B5597-08CF-4C4B-91A3-A16B9DE932D3}">
  <sheetPr codeName="Sheet4"/>
  <dimension ref="B2:M44"/>
  <sheetViews>
    <sheetView workbookViewId="0">
      <selection activeCell="E17" sqref="E17"/>
    </sheetView>
  </sheetViews>
  <sheetFormatPr defaultRowHeight="15" x14ac:dyDescent="0.25"/>
  <cols>
    <col min="1" max="1" width="3.5703125" customWidth="1"/>
    <col min="2" max="2" width="35.85546875" customWidth="1"/>
    <col min="3" max="3" width="13.5703125" bestFit="1" customWidth="1"/>
    <col min="4" max="4" width="10" style="4" customWidth="1"/>
  </cols>
  <sheetData>
    <row r="2" spans="2:13" x14ac:dyDescent="0.25">
      <c r="B2" s="1" t="s">
        <v>64</v>
      </c>
    </row>
    <row r="4" spans="2:13" x14ac:dyDescent="0.25">
      <c r="B4" s="1" t="s">
        <v>65</v>
      </c>
      <c r="C4" s="1" t="s">
        <v>106</v>
      </c>
      <c r="D4" s="5" t="s">
        <v>1</v>
      </c>
      <c r="E4" s="1"/>
      <c r="F4" s="1" t="s">
        <v>2</v>
      </c>
      <c r="J4" s="30" t="s">
        <v>55</v>
      </c>
      <c r="K4" s="30"/>
      <c r="L4" s="30"/>
      <c r="M4" s="2">
        <f>SUM(F5:F47)</f>
        <v>0</v>
      </c>
    </row>
    <row r="5" spans="2:13" x14ac:dyDescent="0.25">
      <c r="D5" s="6"/>
    </row>
    <row r="6" spans="2:13" x14ac:dyDescent="0.25">
      <c r="B6" t="s">
        <v>138</v>
      </c>
      <c r="C6" s="4" t="s">
        <v>139</v>
      </c>
      <c r="D6" s="6">
        <v>280</v>
      </c>
      <c r="E6" s="9"/>
      <c r="F6" s="6">
        <f>D6*E6</f>
        <v>0</v>
      </c>
    </row>
    <row r="7" spans="2:13" x14ac:dyDescent="0.25">
      <c r="B7" t="s">
        <v>140</v>
      </c>
      <c r="C7" t="s">
        <v>141</v>
      </c>
      <c r="D7" s="6">
        <v>67</v>
      </c>
      <c r="E7" s="9"/>
      <c r="F7" s="6">
        <f>D7*E7</f>
        <v>0</v>
      </c>
    </row>
    <row r="8" spans="2:13" x14ac:dyDescent="0.25">
      <c r="D8" s="6"/>
    </row>
    <row r="9" spans="2:13" x14ac:dyDescent="0.25">
      <c r="B9" s="3" t="s">
        <v>158</v>
      </c>
    </row>
    <row r="10" spans="2:13" x14ac:dyDescent="0.25">
      <c r="B10" t="s">
        <v>152</v>
      </c>
      <c r="C10" s="4" t="s">
        <v>153</v>
      </c>
      <c r="D10" s="6">
        <v>100</v>
      </c>
      <c r="E10" s="9"/>
      <c r="F10" s="6">
        <f>D10*E10</f>
        <v>0</v>
      </c>
    </row>
    <row r="11" spans="2:13" x14ac:dyDescent="0.25">
      <c r="B11" t="s">
        <v>152</v>
      </c>
      <c r="C11" t="s">
        <v>154</v>
      </c>
      <c r="D11" s="6">
        <v>120</v>
      </c>
      <c r="E11" s="9"/>
      <c r="F11" s="6">
        <f>D11*E11</f>
        <v>0</v>
      </c>
    </row>
    <row r="12" spans="2:13" x14ac:dyDescent="0.25">
      <c r="B12" t="s">
        <v>152</v>
      </c>
      <c r="C12" t="s">
        <v>155</v>
      </c>
      <c r="D12" s="6">
        <v>155</v>
      </c>
      <c r="E12" s="9"/>
      <c r="F12" s="6">
        <f>D12*E12</f>
        <v>0</v>
      </c>
    </row>
    <row r="13" spans="2:13" x14ac:dyDescent="0.25">
      <c r="D13" s="6"/>
    </row>
    <row r="14" spans="2:13" x14ac:dyDescent="0.25">
      <c r="B14" t="s">
        <v>156</v>
      </c>
      <c r="C14" s="4" t="s">
        <v>153</v>
      </c>
      <c r="D14" s="6">
        <v>150</v>
      </c>
      <c r="E14" s="9"/>
      <c r="F14" s="6">
        <f>D14*E14</f>
        <v>0</v>
      </c>
    </row>
    <row r="15" spans="2:13" x14ac:dyDescent="0.25">
      <c r="B15" t="s">
        <v>156</v>
      </c>
      <c r="C15" t="s">
        <v>154</v>
      </c>
      <c r="D15" s="6">
        <v>155</v>
      </c>
      <c r="E15" s="9"/>
      <c r="F15" s="6">
        <f>D15*E15</f>
        <v>0</v>
      </c>
    </row>
    <row r="16" spans="2:13" x14ac:dyDescent="0.25">
      <c r="B16" t="s">
        <v>156</v>
      </c>
      <c r="C16" t="s">
        <v>155</v>
      </c>
      <c r="D16" s="6">
        <v>250</v>
      </c>
      <c r="E16" s="9"/>
      <c r="F16" s="6">
        <f>D16*E16</f>
        <v>0</v>
      </c>
    </row>
    <row r="17" spans="2:6" x14ac:dyDescent="0.25">
      <c r="D17" s="6"/>
      <c r="E17" s="6"/>
      <c r="F17" s="6"/>
    </row>
    <row r="18" spans="2:6" x14ac:dyDescent="0.25">
      <c r="B18" t="s">
        <v>157</v>
      </c>
      <c r="D18" s="6"/>
      <c r="E18" s="6"/>
      <c r="F18" s="6"/>
    </row>
    <row r="19" spans="2:6" x14ac:dyDescent="0.25">
      <c r="D19" s="6"/>
    </row>
    <row r="20" spans="2:6" x14ac:dyDescent="0.25">
      <c r="B20" s="3" t="s">
        <v>180</v>
      </c>
      <c r="D20" s="6"/>
    </row>
    <row r="21" spans="2:6" x14ac:dyDescent="0.25">
      <c r="B21" t="s">
        <v>181</v>
      </c>
      <c r="C21" t="s">
        <v>182</v>
      </c>
      <c r="D21" s="6">
        <v>116.48</v>
      </c>
      <c r="E21" s="9"/>
      <c r="F21" s="6">
        <f>D21*E21</f>
        <v>0</v>
      </c>
    </row>
    <row r="22" spans="2:6" x14ac:dyDescent="0.25">
      <c r="D22" s="6"/>
    </row>
    <row r="23" spans="2:6" x14ac:dyDescent="0.25">
      <c r="D23" s="6"/>
    </row>
    <row r="24" spans="2:6" x14ac:dyDescent="0.25">
      <c r="B24" t="s">
        <v>142</v>
      </c>
      <c r="D24" s="6">
        <v>200</v>
      </c>
      <c r="E24" s="9"/>
      <c r="F24" s="6">
        <f>D24*E24</f>
        <v>0</v>
      </c>
    </row>
    <row r="25" spans="2:6" x14ac:dyDescent="0.25">
      <c r="D25" s="6"/>
    </row>
    <row r="26" spans="2:6" x14ac:dyDescent="0.25">
      <c r="D26" s="6"/>
    </row>
    <row r="27" spans="2:6" x14ac:dyDescent="0.25">
      <c r="D27" s="6"/>
    </row>
    <row r="28" spans="2:6" x14ac:dyDescent="0.25">
      <c r="D28" s="6"/>
    </row>
    <row r="29" spans="2:6" x14ac:dyDescent="0.25">
      <c r="D29" s="6"/>
    </row>
    <row r="30" spans="2:6" x14ac:dyDescent="0.25">
      <c r="D30" s="6"/>
    </row>
    <row r="31" spans="2:6" x14ac:dyDescent="0.25">
      <c r="D31" s="6"/>
    </row>
    <row r="32" spans="2:6" x14ac:dyDescent="0.25">
      <c r="D32" s="6"/>
    </row>
    <row r="33" spans="4:4" x14ac:dyDescent="0.25">
      <c r="D33" s="6"/>
    </row>
    <row r="34" spans="4:4" x14ac:dyDescent="0.25">
      <c r="D34" s="6"/>
    </row>
    <row r="35" spans="4:4" x14ac:dyDescent="0.25">
      <c r="D35" s="6"/>
    </row>
    <row r="36" spans="4:4" x14ac:dyDescent="0.25">
      <c r="D36" s="6"/>
    </row>
    <row r="37" spans="4:4" x14ac:dyDescent="0.25">
      <c r="D37" s="6"/>
    </row>
    <row r="38" spans="4:4" x14ac:dyDescent="0.25">
      <c r="D38" s="6"/>
    </row>
    <row r="39" spans="4:4" x14ac:dyDescent="0.25">
      <c r="D39" s="6"/>
    </row>
    <row r="40" spans="4:4" x14ac:dyDescent="0.25">
      <c r="D40" s="6"/>
    </row>
    <row r="41" spans="4:4" x14ac:dyDescent="0.25">
      <c r="D41" s="6"/>
    </row>
    <row r="42" spans="4:4" x14ac:dyDescent="0.25">
      <c r="D42" s="6"/>
    </row>
    <row r="43" spans="4:4" x14ac:dyDescent="0.25">
      <c r="D43" s="6"/>
    </row>
    <row r="44" spans="4:4" x14ac:dyDescent="0.25">
      <c r="D44" s="6"/>
    </row>
  </sheetData>
  <mergeCells count="1">
    <mergeCell ref="J4:L4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BAEB5-5C95-400C-82DB-72F88F07C86C}">
  <sheetPr codeName="Sheet5"/>
  <dimension ref="B2:M21"/>
  <sheetViews>
    <sheetView workbookViewId="0">
      <selection activeCell="E8" sqref="E8"/>
    </sheetView>
  </sheetViews>
  <sheetFormatPr defaultRowHeight="15" x14ac:dyDescent="0.25"/>
  <cols>
    <col min="1" max="1" width="3.5703125" customWidth="1"/>
    <col min="2" max="2" width="35.85546875" customWidth="1"/>
    <col min="3" max="3" width="13.5703125" bestFit="1" customWidth="1"/>
    <col min="4" max="4" width="10" style="4" customWidth="1"/>
  </cols>
  <sheetData>
    <row r="2" spans="2:13" x14ac:dyDescent="0.25">
      <c r="B2" s="1" t="s">
        <v>133</v>
      </c>
    </row>
    <row r="4" spans="2:13" x14ac:dyDescent="0.25">
      <c r="B4" s="1" t="s">
        <v>65</v>
      </c>
      <c r="C4" s="1" t="s">
        <v>11</v>
      </c>
      <c r="D4" s="5" t="s">
        <v>1</v>
      </c>
      <c r="E4" s="1"/>
      <c r="F4" s="1" t="s">
        <v>2</v>
      </c>
      <c r="J4" s="30" t="s">
        <v>55</v>
      </c>
      <c r="K4" s="30"/>
      <c r="L4" s="30"/>
      <c r="M4" s="2">
        <f>SUM(F5:F24)</f>
        <v>0</v>
      </c>
    </row>
    <row r="5" spans="2:13" x14ac:dyDescent="0.25">
      <c r="D5" s="6"/>
    </row>
    <row r="6" spans="2:13" x14ac:dyDescent="0.25">
      <c r="B6" t="s">
        <v>134</v>
      </c>
      <c r="C6" t="s">
        <v>136</v>
      </c>
      <c r="D6" s="6">
        <v>4.9400000000000004</v>
      </c>
      <c r="E6" s="9"/>
      <c r="F6" s="6">
        <f>D6*E6</f>
        <v>0</v>
      </c>
    </row>
    <row r="7" spans="2:13" x14ac:dyDescent="0.25">
      <c r="B7" t="s">
        <v>135</v>
      </c>
      <c r="C7" t="s">
        <v>136</v>
      </c>
      <c r="D7" s="6">
        <v>3.51</v>
      </c>
      <c r="E7" s="9"/>
      <c r="F7" s="6">
        <f>D7*E7</f>
        <v>0</v>
      </c>
    </row>
    <row r="8" spans="2:13" x14ac:dyDescent="0.25">
      <c r="D8" s="6"/>
    </row>
    <row r="9" spans="2:13" x14ac:dyDescent="0.25">
      <c r="B9" t="s">
        <v>101</v>
      </c>
      <c r="D9" s="6">
        <v>30</v>
      </c>
      <c r="E9" s="9"/>
      <c r="F9" s="6">
        <f>D9*E9</f>
        <v>0</v>
      </c>
    </row>
    <row r="10" spans="2:13" x14ac:dyDescent="0.25">
      <c r="D10" s="6"/>
    </row>
    <row r="11" spans="2:13" x14ac:dyDescent="0.25">
      <c r="D11" s="6"/>
    </row>
    <row r="12" spans="2:13" x14ac:dyDescent="0.25">
      <c r="D12" s="6"/>
    </row>
    <row r="13" spans="2:13" x14ac:dyDescent="0.25">
      <c r="D13" s="6"/>
    </row>
    <row r="14" spans="2:13" x14ac:dyDescent="0.25">
      <c r="D14" s="6"/>
    </row>
    <row r="15" spans="2:13" x14ac:dyDescent="0.25">
      <c r="D15" s="6"/>
    </row>
    <row r="16" spans="2:13" x14ac:dyDescent="0.25">
      <c r="D16" s="6"/>
    </row>
    <row r="17" spans="4:4" x14ac:dyDescent="0.25">
      <c r="D17" s="6"/>
    </row>
    <row r="18" spans="4:4" x14ac:dyDescent="0.25">
      <c r="D18" s="6"/>
    </row>
    <row r="19" spans="4:4" x14ac:dyDescent="0.25">
      <c r="D19" s="6"/>
    </row>
    <row r="20" spans="4:4" x14ac:dyDescent="0.25">
      <c r="D20" s="6"/>
    </row>
    <row r="21" spans="4:4" x14ac:dyDescent="0.25">
      <c r="D21" s="6"/>
    </row>
  </sheetData>
  <mergeCells count="1">
    <mergeCell ref="J4:L4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D26D0-422B-4875-A02B-E2B57050F568}">
  <sheetPr codeName="Sheet6"/>
  <dimension ref="B2:M19"/>
  <sheetViews>
    <sheetView workbookViewId="0">
      <selection activeCell="E16" sqref="E16"/>
    </sheetView>
  </sheetViews>
  <sheetFormatPr defaultRowHeight="15" x14ac:dyDescent="0.25"/>
  <cols>
    <col min="1" max="1" width="3.5703125" customWidth="1"/>
    <col min="2" max="2" width="31.5703125" customWidth="1"/>
    <col min="3" max="3" width="10.7109375" customWidth="1"/>
    <col min="4" max="4" width="10" style="4" customWidth="1"/>
    <col min="13" max="13" width="9.140625" bestFit="1" customWidth="1"/>
  </cols>
  <sheetData>
    <row r="2" spans="2:13" x14ac:dyDescent="0.25">
      <c r="B2" s="1" t="s">
        <v>98</v>
      </c>
    </row>
    <row r="4" spans="2:13" x14ac:dyDescent="0.25">
      <c r="B4" s="1" t="s">
        <v>110</v>
      </c>
      <c r="C4" s="1" t="s">
        <v>11</v>
      </c>
      <c r="D4" s="5" t="s">
        <v>1</v>
      </c>
      <c r="E4" s="1"/>
      <c r="F4" s="1" t="s">
        <v>2</v>
      </c>
      <c r="J4" s="30" t="s">
        <v>55</v>
      </c>
      <c r="K4" s="30"/>
      <c r="L4" s="30"/>
      <c r="M4" s="2">
        <f>SUM(F5:F22)</f>
        <v>0</v>
      </c>
    </row>
    <row r="5" spans="2:13" x14ac:dyDescent="0.25">
      <c r="B5" s="3" t="s">
        <v>111</v>
      </c>
      <c r="D5" s="6"/>
    </row>
    <row r="6" spans="2:13" x14ac:dyDescent="0.25">
      <c r="B6" t="s">
        <v>100</v>
      </c>
      <c r="C6" t="s">
        <v>12</v>
      </c>
      <c r="D6" s="6">
        <v>246.81</v>
      </c>
      <c r="E6" s="9"/>
      <c r="F6" s="6">
        <f>D6*E6</f>
        <v>0</v>
      </c>
    </row>
    <row r="7" spans="2:13" x14ac:dyDescent="0.25">
      <c r="B7" t="s">
        <v>99</v>
      </c>
      <c r="C7" t="s">
        <v>12</v>
      </c>
      <c r="D7" s="6">
        <v>183.46</v>
      </c>
      <c r="E7" s="9"/>
      <c r="F7" s="6">
        <f>D7*E7</f>
        <v>0</v>
      </c>
    </row>
    <row r="8" spans="2:13" x14ac:dyDescent="0.25">
      <c r="D8" s="6"/>
    </row>
    <row r="9" spans="2:13" x14ac:dyDescent="0.25">
      <c r="B9" s="3" t="s">
        <v>212</v>
      </c>
      <c r="D9" s="6"/>
    </row>
    <row r="10" spans="2:13" x14ac:dyDescent="0.25">
      <c r="B10" t="s">
        <v>213</v>
      </c>
      <c r="C10" t="s">
        <v>12</v>
      </c>
      <c r="D10" s="6">
        <v>191.25</v>
      </c>
      <c r="E10" s="9"/>
      <c r="F10" s="6">
        <f>D10*E10</f>
        <v>0</v>
      </c>
    </row>
    <row r="11" spans="2:13" x14ac:dyDescent="0.25">
      <c r="D11" s="6"/>
    </row>
    <row r="12" spans="2:13" x14ac:dyDescent="0.25">
      <c r="B12" s="3" t="s">
        <v>9</v>
      </c>
      <c r="D12" s="6"/>
    </row>
    <row r="13" spans="2:13" x14ac:dyDescent="0.25">
      <c r="B13" t="s">
        <v>112</v>
      </c>
      <c r="C13" t="s">
        <v>14</v>
      </c>
      <c r="D13" s="6">
        <v>54.54</v>
      </c>
      <c r="E13" s="9"/>
      <c r="F13" s="6">
        <f>D13*E13</f>
        <v>0</v>
      </c>
    </row>
    <row r="14" spans="2:13" x14ac:dyDescent="0.25">
      <c r="B14" t="s">
        <v>123</v>
      </c>
      <c r="C14" t="s">
        <v>14</v>
      </c>
      <c r="D14" s="6">
        <v>79.09</v>
      </c>
      <c r="E14" s="9"/>
      <c r="F14" s="6">
        <f>D14*E14</f>
        <v>0</v>
      </c>
    </row>
    <row r="15" spans="2:13" x14ac:dyDescent="0.25">
      <c r="B15" t="s">
        <v>124</v>
      </c>
      <c r="C15" t="s">
        <v>14</v>
      </c>
      <c r="D15" s="6">
        <v>130</v>
      </c>
      <c r="E15" s="9"/>
      <c r="F15" s="6">
        <f>D15*E15</f>
        <v>0</v>
      </c>
    </row>
    <row r="16" spans="2:13" x14ac:dyDescent="0.25">
      <c r="D16" s="6"/>
    </row>
    <row r="17" spans="2:6" x14ac:dyDescent="0.25">
      <c r="D17" s="6"/>
    </row>
    <row r="18" spans="2:6" x14ac:dyDescent="0.25">
      <c r="D18" s="6"/>
    </row>
    <row r="19" spans="2:6" x14ac:dyDescent="0.25">
      <c r="B19" t="s">
        <v>101</v>
      </c>
      <c r="D19" s="6">
        <v>65</v>
      </c>
      <c r="E19" s="9"/>
      <c r="F19" s="6">
        <f>D19*E19</f>
        <v>0</v>
      </c>
    </row>
  </sheetData>
  <mergeCells count="1">
    <mergeCell ref="J4:L4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17341-C310-4407-BBB7-30B6E0D491D7}">
  <sheetPr codeName="Sheet7"/>
  <dimension ref="B2:M84"/>
  <sheetViews>
    <sheetView topLeftCell="A19" workbookViewId="0">
      <selection activeCell="F19" sqref="F1:F1048576"/>
    </sheetView>
  </sheetViews>
  <sheetFormatPr defaultRowHeight="15" x14ac:dyDescent="0.25"/>
  <cols>
    <col min="1" max="1" width="3.5703125" customWidth="1"/>
    <col min="2" max="2" width="39.7109375" bestFit="1" customWidth="1"/>
    <col min="3" max="3" width="13.28515625" style="4" customWidth="1"/>
    <col min="4" max="4" width="13.5703125" style="4" bestFit="1" customWidth="1"/>
    <col min="5" max="5" width="10" style="4" customWidth="1"/>
    <col min="13" max="13" width="10.140625" bestFit="1" customWidth="1"/>
  </cols>
  <sheetData>
    <row r="2" spans="2:13" x14ac:dyDescent="0.25">
      <c r="B2" s="1" t="s">
        <v>93</v>
      </c>
      <c r="C2" s="5"/>
    </row>
    <row r="4" spans="2:13" x14ac:dyDescent="0.25">
      <c r="B4" s="1" t="s">
        <v>65</v>
      </c>
      <c r="C4" s="5" t="s">
        <v>11</v>
      </c>
      <c r="D4" s="5" t="s">
        <v>11</v>
      </c>
      <c r="E4" s="5" t="s">
        <v>1</v>
      </c>
      <c r="F4" s="1"/>
      <c r="G4" s="1" t="s">
        <v>2</v>
      </c>
      <c r="J4" s="30" t="s">
        <v>55</v>
      </c>
      <c r="K4" s="30"/>
      <c r="L4" s="30"/>
      <c r="M4" s="2">
        <f>SUM(G5:G96)</f>
        <v>0</v>
      </c>
    </row>
    <row r="5" spans="2:13" x14ac:dyDescent="0.25">
      <c r="E5" s="6"/>
    </row>
    <row r="7" spans="2:13" x14ac:dyDescent="0.25">
      <c r="B7" t="s">
        <v>171</v>
      </c>
      <c r="E7" s="6">
        <v>75</v>
      </c>
      <c r="F7" s="9"/>
      <c r="G7" s="13">
        <f>F7*E7</f>
        <v>0</v>
      </c>
    </row>
    <row r="8" spans="2:13" x14ac:dyDescent="0.25">
      <c r="B8" t="s">
        <v>273</v>
      </c>
      <c r="E8" s="6">
        <v>25</v>
      </c>
      <c r="F8" s="9"/>
      <c r="G8" s="13">
        <f>F8*E8</f>
        <v>0</v>
      </c>
    </row>
    <row r="9" spans="2:13" x14ac:dyDescent="0.25">
      <c r="E9" s="6"/>
      <c r="F9" s="6"/>
      <c r="G9" s="13"/>
    </row>
    <row r="10" spans="2:13" x14ac:dyDescent="0.25">
      <c r="B10" t="s">
        <v>265</v>
      </c>
      <c r="C10" s="4">
        <v>1040</v>
      </c>
      <c r="E10" s="6">
        <v>70</v>
      </c>
      <c r="F10" s="14"/>
      <c r="G10" s="13">
        <f>F10*E10</f>
        <v>0</v>
      </c>
    </row>
    <row r="11" spans="2:13" x14ac:dyDescent="0.25">
      <c r="B11" t="s">
        <v>265</v>
      </c>
      <c r="C11" s="4">
        <v>600</v>
      </c>
      <c r="E11" s="6">
        <v>42</v>
      </c>
      <c r="F11" s="14"/>
      <c r="G11" s="13">
        <f>F11*E11</f>
        <v>0</v>
      </c>
    </row>
    <row r="13" spans="2:13" x14ac:dyDescent="0.25">
      <c r="B13" t="s">
        <v>266</v>
      </c>
      <c r="C13" s="4" t="s">
        <v>109</v>
      </c>
      <c r="D13" s="4">
        <v>270</v>
      </c>
      <c r="E13" s="6">
        <v>57.57</v>
      </c>
      <c r="F13" s="9"/>
      <c r="G13" s="13">
        <f t="shared" ref="G13:G19" si="0">F13*E13</f>
        <v>0</v>
      </c>
    </row>
    <row r="14" spans="2:13" x14ac:dyDescent="0.25">
      <c r="B14" t="s">
        <v>266</v>
      </c>
      <c r="C14" s="4" t="s">
        <v>109</v>
      </c>
      <c r="D14" s="4">
        <v>350</v>
      </c>
      <c r="E14" s="6">
        <v>57.57</v>
      </c>
      <c r="F14" s="9"/>
      <c r="G14" s="13">
        <f t="shared" si="0"/>
        <v>0</v>
      </c>
    </row>
    <row r="15" spans="2:13" x14ac:dyDescent="0.25">
      <c r="B15" t="s">
        <v>266</v>
      </c>
      <c r="C15" s="4" t="s">
        <v>109</v>
      </c>
      <c r="D15" s="4">
        <v>400</v>
      </c>
      <c r="E15" s="6">
        <v>58.29</v>
      </c>
      <c r="F15" s="9"/>
      <c r="G15" s="13">
        <f t="shared" si="0"/>
        <v>0</v>
      </c>
    </row>
    <row r="16" spans="2:13" x14ac:dyDescent="0.25">
      <c r="B16" t="s">
        <v>266</v>
      </c>
      <c r="C16" s="4" t="s">
        <v>109</v>
      </c>
      <c r="D16" s="4">
        <v>450</v>
      </c>
      <c r="E16" s="6">
        <v>59.03</v>
      </c>
      <c r="F16" s="9"/>
      <c r="G16" s="13">
        <f t="shared" si="0"/>
        <v>0</v>
      </c>
    </row>
    <row r="17" spans="2:7" x14ac:dyDescent="0.25">
      <c r="B17" t="s">
        <v>266</v>
      </c>
      <c r="C17" s="4" t="s">
        <v>109</v>
      </c>
      <c r="D17" s="4">
        <v>500</v>
      </c>
      <c r="E17" s="6">
        <v>59.81</v>
      </c>
      <c r="F17" s="9"/>
      <c r="G17" s="13">
        <f t="shared" si="0"/>
        <v>0</v>
      </c>
    </row>
    <row r="18" spans="2:7" x14ac:dyDescent="0.25">
      <c r="B18" t="s">
        <v>266</v>
      </c>
      <c r="C18" s="4" t="s">
        <v>109</v>
      </c>
      <c r="D18" s="4">
        <v>550</v>
      </c>
      <c r="E18" s="6">
        <v>64.680000000000007</v>
      </c>
      <c r="F18" s="9"/>
      <c r="G18" s="13">
        <f t="shared" si="0"/>
        <v>0</v>
      </c>
    </row>
    <row r="19" spans="2:7" x14ac:dyDescent="0.25">
      <c r="B19" t="s">
        <v>266</v>
      </c>
      <c r="C19" s="4" t="s">
        <v>109</v>
      </c>
      <c r="D19" s="4">
        <v>600</v>
      </c>
      <c r="E19" s="6">
        <v>75.599999999999994</v>
      </c>
      <c r="F19" s="9"/>
      <c r="G19" s="13">
        <f t="shared" si="0"/>
        <v>0</v>
      </c>
    </row>
    <row r="21" spans="2:7" x14ac:dyDescent="0.25">
      <c r="B21" t="s">
        <v>113</v>
      </c>
      <c r="C21" s="4" t="s">
        <v>109</v>
      </c>
      <c r="D21" s="4">
        <v>450</v>
      </c>
      <c r="E21" s="6">
        <v>67.2</v>
      </c>
      <c r="F21" s="9"/>
      <c r="G21" s="13">
        <f t="shared" ref="G21:G24" si="1">F21*E21</f>
        <v>0</v>
      </c>
    </row>
    <row r="22" spans="2:7" x14ac:dyDescent="0.25">
      <c r="B22" t="s">
        <v>113</v>
      </c>
      <c r="C22" s="4" t="s">
        <v>109</v>
      </c>
      <c r="D22" s="4">
        <v>500</v>
      </c>
      <c r="E22" s="6">
        <v>67.37</v>
      </c>
      <c r="F22" s="9"/>
      <c r="G22" s="13">
        <f t="shared" si="1"/>
        <v>0</v>
      </c>
    </row>
    <row r="23" spans="2:7" x14ac:dyDescent="0.25">
      <c r="B23" t="s">
        <v>113</v>
      </c>
      <c r="C23" s="4" t="s">
        <v>109</v>
      </c>
      <c r="D23" s="4">
        <v>550</v>
      </c>
      <c r="E23" s="6">
        <v>72.84</v>
      </c>
      <c r="F23" s="9"/>
      <c r="G23" s="13">
        <f t="shared" si="1"/>
        <v>0</v>
      </c>
    </row>
    <row r="24" spans="2:7" x14ac:dyDescent="0.25">
      <c r="B24" t="s">
        <v>113</v>
      </c>
      <c r="C24" s="4" t="s">
        <v>109</v>
      </c>
      <c r="D24" s="4">
        <v>600</v>
      </c>
      <c r="E24" s="6">
        <v>83.78</v>
      </c>
      <c r="F24" s="9"/>
      <c r="G24" s="13">
        <f t="shared" si="1"/>
        <v>0</v>
      </c>
    </row>
    <row r="26" spans="2:7" x14ac:dyDescent="0.25">
      <c r="B26" t="s">
        <v>267</v>
      </c>
      <c r="C26" s="4" t="s">
        <v>109</v>
      </c>
      <c r="D26" s="4">
        <v>270</v>
      </c>
      <c r="E26" s="6">
        <v>80.69</v>
      </c>
      <c r="F26" s="9"/>
      <c r="G26" s="13">
        <f t="shared" ref="G26:G32" si="2">F26*E26</f>
        <v>0</v>
      </c>
    </row>
    <row r="27" spans="2:7" x14ac:dyDescent="0.25">
      <c r="B27" t="s">
        <v>267</v>
      </c>
      <c r="C27" s="4" t="s">
        <v>109</v>
      </c>
      <c r="D27" s="4">
        <v>350</v>
      </c>
      <c r="E27" s="6">
        <v>80.36</v>
      </c>
      <c r="F27" s="9"/>
      <c r="G27" s="13">
        <f t="shared" si="2"/>
        <v>0</v>
      </c>
    </row>
    <row r="28" spans="2:7" x14ac:dyDescent="0.25">
      <c r="B28" t="s">
        <v>267</v>
      </c>
      <c r="C28" s="4" t="s">
        <v>109</v>
      </c>
      <c r="D28" s="4">
        <v>400</v>
      </c>
      <c r="E28" s="6">
        <v>81.349999999999994</v>
      </c>
      <c r="F28" s="9"/>
      <c r="G28" s="13">
        <f t="shared" si="2"/>
        <v>0</v>
      </c>
    </row>
    <row r="29" spans="2:7" x14ac:dyDescent="0.25">
      <c r="B29" t="s">
        <v>267</v>
      </c>
      <c r="C29" s="4" t="s">
        <v>109</v>
      </c>
      <c r="D29" s="4">
        <v>450</v>
      </c>
      <c r="E29" s="6">
        <v>82.37</v>
      </c>
      <c r="F29" s="9"/>
      <c r="G29" s="13">
        <f t="shared" si="2"/>
        <v>0</v>
      </c>
    </row>
    <row r="30" spans="2:7" x14ac:dyDescent="0.25">
      <c r="B30" t="s">
        <v>267</v>
      </c>
      <c r="C30" s="4" t="s">
        <v>109</v>
      </c>
      <c r="D30" s="4">
        <v>500</v>
      </c>
      <c r="E30" s="6">
        <v>83.41</v>
      </c>
      <c r="F30" s="9"/>
      <c r="G30" s="13">
        <f t="shared" si="2"/>
        <v>0</v>
      </c>
    </row>
    <row r="31" spans="2:7" x14ac:dyDescent="0.25">
      <c r="B31" t="s">
        <v>267</v>
      </c>
      <c r="C31" s="4" t="s">
        <v>109</v>
      </c>
      <c r="D31" s="4">
        <v>550</v>
      </c>
      <c r="E31" s="6">
        <v>89.58</v>
      </c>
      <c r="F31" s="9"/>
      <c r="G31" s="13">
        <f t="shared" si="2"/>
        <v>0</v>
      </c>
    </row>
    <row r="32" spans="2:7" x14ac:dyDescent="0.25">
      <c r="B32" t="s">
        <v>267</v>
      </c>
      <c r="C32" s="4" t="s">
        <v>109</v>
      </c>
      <c r="D32" s="4">
        <v>600</v>
      </c>
      <c r="E32" s="6">
        <v>102.65</v>
      </c>
      <c r="F32" s="9"/>
      <c r="G32" s="13">
        <f t="shared" si="2"/>
        <v>0</v>
      </c>
    </row>
    <row r="34" spans="2:7" x14ac:dyDescent="0.25">
      <c r="B34" t="s">
        <v>268</v>
      </c>
      <c r="C34" s="4" t="s">
        <v>109</v>
      </c>
      <c r="D34" s="4">
        <v>270</v>
      </c>
      <c r="E34" s="6">
        <f>E13+36</f>
        <v>93.57</v>
      </c>
      <c r="F34" s="9"/>
      <c r="G34" s="13">
        <f t="shared" ref="G34:G40" si="3">F34*E34</f>
        <v>0</v>
      </c>
    </row>
    <row r="35" spans="2:7" x14ac:dyDescent="0.25">
      <c r="B35" t="s">
        <v>268</v>
      </c>
      <c r="C35" s="4" t="s">
        <v>109</v>
      </c>
      <c r="D35" s="4">
        <v>350</v>
      </c>
      <c r="E35" s="6">
        <f t="shared" ref="E35:E40" si="4">E14+36</f>
        <v>93.57</v>
      </c>
      <c r="F35" s="9"/>
      <c r="G35" s="13">
        <f t="shared" si="3"/>
        <v>0</v>
      </c>
    </row>
    <row r="36" spans="2:7" x14ac:dyDescent="0.25">
      <c r="B36" t="s">
        <v>268</v>
      </c>
      <c r="C36" s="4" t="s">
        <v>109</v>
      </c>
      <c r="D36" s="4">
        <v>400</v>
      </c>
      <c r="E36" s="6">
        <f t="shared" si="4"/>
        <v>94.289999999999992</v>
      </c>
      <c r="F36" s="9"/>
      <c r="G36" s="13">
        <f t="shared" si="3"/>
        <v>0</v>
      </c>
    </row>
    <row r="37" spans="2:7" x14ac:dyDescent="0.25">
      <c r="B37" t="s">
        <v>268</v>
      </c>
      <c r="C37" s="4" t="s">
        <v>109</v>
      </c>
      <c r="D37" s="4">
        <v>450</v>
      </c>
      <c r="E37" s="6">
        <f t="shared" si="4"/>
        <v>95.03</v>
      </c>
      <c r="F37" s="9"/>
      <c r="G37" s="13">
        <f t="shared" si="3"/>
        <v>0</v>
      </c>
    </row>
    <row r="38" spans="2:7" x14ac:dyDescent="0.25">
      <c r="B38" t="s">
        <v>268</v>
      </c>
      <c r="C38" s="4" t="s">
        <v>109</v>
      </c>
      <c r="D38" s="4">
        <v>500</v>
      </c>
      <c r="E38" s="6">
        <f t="shared" si="4"/>
        <v>95.81</v>
      </c>
      <c r="F38" s="9"/>
      <c r="G38" s="13">
        <f t="shared" si="3"/>
        <v>0</v>
      </c>
    </row>
    <row r="39" spans="2:7" x14ac:dyDescent="0.25">
      <c r="B39" t="s">
        <v>268</v>
      </c>
      <c r="C39" s="4" t="s">
        <v>109</v>
      </c>
      <c r="D39" s="4">
        <v>550</v>
      </c>
      <c r="E39" s="6">
        <f t="shared" si="4"/>
        <v>100.68</v>
      </c>
      <c r="F39" s="9"/>
      <c r="G39" s="13">
        <f t="shared" si="3"/>
        <v>0</v>
      </c>
    </row>
    <row r="40" spans="2:7" x14ac:dyDescent="0.25">
      <c r="B40" t="s">
        <v>268</v>
      </c>
      <c r="C40" s="4" t="s">
        <v>109</v>
      </c>
      <c r="D40" s="4">
        <v>600</v>
      </c>
      <c r="E40" s="6">
        <f t="shared" si="4"/>
        <v>111.6</v>
      </c>
      <c r="F40" s="9"/>
      <c r="G40" s="13">
        <f t="shared" si="3"/>
        <v>0</v>
      </c>
    </row>
    <row r="42" spans="2:7" x14ac:dyDescent="0.25">
      <c r="B42" t="s">
        <v>269</v>
      </c>
      <c r="C42" s="4" t="s">
        <v>109</v>
      </c>
      <c r="D42" s="4">
        <v>270</v>
      </c>
      <c r="E42" s="6">
        <f>E26+50</f>
        <v>130.69</v>
      </c>
      <c r="F42" s="9"/>
      <c r="G42" s="13">
        <f t="shared" ref="G42:G48" si="5">F42*E42</f>
        <v>0</v>
      </c>
    </row>
    <row r="43" spans="2:7" x14ac:dyDescent="0.25">
      <c r="B43" t="s">
        <v>269</v>
      </c>
      <c r="C43" s="4" t="s">
        <v>109</v>
      </c>
      <c r="D43" s="4">
        <v>350</v>
      </c>
      <c r="E43" s="6">
        <f t="shared" ref="E43:E48" si="6">E27+50</f>
        <v>130.36000000000001</v>
      </c>
      <c r="F43" s="9"/>
      <c r="G43" s="13">
        <f t="shared" si="5"/>
        <v>0</v>
      </c>
    </row>
    <row r="44" spans="2:7" x14ac:dyDescent="0.25">
      <c r="B44" t="s">
        <v>269</v>
      </c>
      <c r="C44" s="4" t="s">
        <v>109</v>
      </c>
      <c r="D44" s="4">
        <v>400</v>
      </c>
      <c r="E44" s="6">
        <f t="shared" si="6"/>
        <v>131.35</v>
      </c>
      <c r="F44" s="9"/>
      <c r="G44" s="13">
        <f t="shared" si="5"/>
        <v>0</v>
      </c>
    </row>
    <row r="45" spans="2:7" x14ac:dyDescent="0.25">
      <c r="B45" t="s">
        <v>269</v>
      </c>
      <c r="C45" s="4" t="s">
        <v>109</v>
      </c>
      <c r="D45" s="4">
        <v>450</v>
      </c>
      <c r="E45" s="6">
        <f t="shared" si="6"/>
        <v>132.37</v>
      </c>
      <c r="F45" s="9"/>
      <c r="G45" s="13">
        <f t="shared" si="5"/>
        <v>0</v>
      </c>
    </row>
    <row r="46" spans="2:7" x14ac:dyDescent="0.25">
      <c r="B46" t="s">
        <v>269</v>
      </c>
      <c r="C46" s="4" t="s">
        <v>109</v>
      </c>
      <c r="D46" s="4">
        <v>500</v>
      </c>
      <c r="E46" s="6">
        <f t="shared" si="6"/>
        <v>133.41</v>
      </c>
      <c r="F46" s="9"/>
      <c r="G46" s="13">
        <f t="shared" si="5"/>
        <v>0</v>
      </c>
    </row>
    <row r="47" spans="2:7" x14ac:dyDescent="0.25">
      <c r="B47" t="s">
        <v>269</v>
      </c>
      <c r="C47" s="4" t="s">
        <v>109</v>
      </c>
      <c r="D47" s="4">
        <v>550</v>
      </c>
      <c r="E47" s="6">
        <f t="shared" si="6"/>
        <v>139.57999999999998</v>
      </c>
      <c r="F47" s="9"/>
      <c r="G47" s="13">
        <f t="shared" si="5"/>
        <v>0</v>
      </c>
    </row>
    <row r="48" spans="2:7" x14ac:dyDescent="0.25">
      <c r="B48" t="s">
        <v>269</v>
      </c>
      <c r="C48" s="4" t="s">
        <v>109</v>
      </c>
      <c r="D48" s="4">
        <v>600</v>
      </c>
      <c r="E48" s="6">
        <f t="shared" si="6"/>
        <v>152.65</v>
      </c>
      <c r="F48" s="9"/>
      <c r="G48" s="13">
        <f t="shared" si="5"/>
        <v>0</v>
      </c>
    </row>
    <row r="50" spans="2:7" x14ac:dyDescent="0.25">
      <c r="B50" t="s">
        <v>96</v>
      </c>
      <c r="C50" s="4" t="s">
        <v>22</v>
      </c>
      <c r="D50" s="4">
        <v>110</v>
      </c>
      <c r="E50" s="6">
        <v>7.3</v>
      </c>
      <c r="F50" s="9"/>
      <c r="G50" s="13">
        <f t="shared" ref="G50:G52" si="7">F50*E50</f>
        <v>0</v>
      </c>
    </row>
    <row r="51" spans="2:7" x14ac:dyDescent="0.25">
      <c r="B51" t="s">
        <v>96</v>
      </c>
      <c r="C51" s="4" t="s">
        <v>22</v>
      </c>
      <c r="D51" s="4">
        <v>155</v>
      </c>
      <c r="E51" s="6">
        <v>13.02</v>
      </c>
      <c r="F51" s="9"/>
      <c r="G51" s="13">
        <f t="shared" si="7"/>
        <v>0</v>
      </c>
    </row>
    <row r="52" spans="2:7" x14ac:dyDescent="0.25">
      <c r="B52" t="s">
        <v>97</v>
      </c>
      <c r="C52" s="4" t="s">
        <v>94</v>
      </c>
      <c r="D52" s="4">
        <v>75</v>
      </c>
      <c r="E52" s="6">
        <v>8.65</v>
      </c>
      <c r="F52" s="9"/>
      <c r="G52" s="13">
        <f t="shared" si="7"/>
        <v>0</v>
      </c>
    </row>
    <row r="54" spans="2:7" x14ac:dyDescent="0.25">
      <c r="B54" t="s">
        <v>104</v>
      </c>
      <c r="C54" s="4" t="s">
        <v>105</v>
      </c>
      <c r="D54" s="4">
        <v>400</v>
      </c>
      <c r="E54" s="6">
        <v>287.55</v>
      </c>
      <c r="F54" s="9"/>
      <c r="G54" s="13">
        <f t="shared" ref="G54:G60" si="8">F54*E54</f>
        <v>0</v>
      </c>
    </row>
    <row r="55" spans="2:7" x14ac:dyDescent="0.25">
      <c r="B55" t="s">
        <v>104</v>
      </c>
      <c r="C55" s="4" t="s">
        <v>105</v>
      </c>
      <c r="D55" s="4">
        <v>450</v>
      </c>
      <c r="E55" s="6">
        <v>337.9</v>
      </c>
      <c r="F55" s="9"/>
      <c r="G55" s="13">
        <f t="shared" si="8"/>
        <v>0</v>
      </c>
    </row>
    <row r="56" spans="2:7" x14ac:dyDescent="0.25">
      <c r="B56" t="s">
        <v>104</v>
      </c>
      <c r="C56" s="4" t="s">
        <v>105</v>
      </c>
      <c r="D56" s="4">
        <v>500</v>
      </c>
      <c r="E56" s="6">
        <v>377.4</v>
      </c>
      <c r="F56" s="9"/>
      <c r="G56" s="13">
        <f t="shared" si="8"/>
        <v>0</v>
      </c>
    </row>
    <row r="57" spans="2:7" x14ac:dyDescent="0.25">
      <c r="B57" t="s">
        <v>104</v>
      </c>
      <c r="C57" s="4" t="s">
        <v>105</v>
      </c>
      <c r="D57" s="4">
        <v>600</v>
      </c>
      <c r="E57" s="6">
        <v>414.95</v>
      </c>
      <c r="F57" s="9"/>
      <c r="G57" s="13">
        <f t="shared" si="8"/>
        <v>0</v>
      </c>
    </row>
    <row r="58" spans="2:7" x14ac:dyDescent="0.25">
      <c r="B58" t="s">
        <v>107</v>
      </c>
      <c r="C58" s="4" t="s">
        <v>105</v>
      </c>
      <c r="D58" s="4">
        <v>450</v>
      </c>
      <c r="E58" s="6">
        <v>349.8</v>
      </c>
      <c r="F58" s="9"/>
      <c r="G58" s="13">
        <f t="shared" si="8"/>
        <v>0</v>
      </c>
    </row>
    <row r="59" spans="2:7" x14ac:dyDescent="0.25">
      <c r="B59" t="s">
        <v>107</v>
      </c>
      <c r="C59" s="4" t="s">
        <v>105</v>
      </c>
      <c r="D59" s="4">
        <v>500</v>
      </c>
      <c r="E59" s="6">
        <v>393.25</v>
      </c>
      <c r="F59" s="9"/>
      <c r="G59" s="13">
        <f t="shared" si="8"/>
        <v>0</v>
      </c>
    </row>
    <row r="60" spans="2:7" x14ac:dyDescent="0.25">
      <c r="B60" t="s">
        <v>107</v>
      </c>
      <c r="C60" s="4" t="s">
        <v>105</v>
      </c>
      <c r="D60" s="4">
        <v>600</v>
      </c>
      <c r="E60" s="6">
        <v>408.79</v>
      </c>
      <c r="F60" s="9"/>
      <c r="G60" s="13">
        <f t="shared" si="8"/>
        <v>0</v>
      </c>
    </row>
    <row r="62" spans="2:7" x14ac:dyDescent="0.25">
      <c r="B62" t="s">
        <v>108</v>
      </c>
      <c r="C62" s="4" t="s">
        <v>105</v>
      </c>
      <c r="D62" s="4">
        <v>600</v>
      </c>
      <c r="E62" s="6">
        <v>111.58</v>
      </c>
      <c r="F62" s="9"/>
      <c r="G62" s="13">
        <f t="shared" ref="G62:G64" si="9">F62*E62</f>
        <v>0</v>
      </c>
    </row>
    <row r="63" spans="2:7" x14ac:dyDescent="0.25">
      <c r="B63" t="s">
        <v>108</v>
      </c>
      <c r="C63" s="4" t="s">
        <v>105</v>
      </c>
      <c r="D63" s="4">
        <v>800</v>
      </c>
      <c r="E63" s="6">
        <v>150.65</v>
      </c>
      <c r="F63" s="9"/>
      <c r="G63" s="13">
        <f t="shared" si="9"/>
        <v>0</v>
      </c>
    </row>
    <row r="64" spans="2:7" x14ac:dyDescent="0.25">
      <c r="B64" t="s">
        <v>108</v>
      </c>
      <c r="C64" s="4" t="s">
        <v>105</v>
      </c>
      <c r="D64" s="4">
        <v>900</v>
      </c>
      <c r="E64" s="6">
        <v>159.01</v>
      </c>
      <c r="F64" s="9"/>
      <c r="G64" s="13">
        <f t="shared" si="9"/>
        <v>0</v>
      </c>
    </row>
    <row r="66" spans="2:7" x14ac:dyDescent="0.25">
      <c r="B66" t="s">
        <v>114</v>
      </c>
      <c r="C66" s="4" t="s">
        <v>94</v>
      </c>
      <c r="D66" s="4" t="s">
        <v>115</v>
      </c>
      <c r="E66" s="6">
        <v>75.010000000000005</v>
      </c>
      <c r="F66" s="9"/>
      <c r="G66" s="13">
        <f t="shared" ref="G66:G82" si="10">F66*E66</f>
        <v>0</v>
      </c>
    </row>
    <row r="67" spans="2:7" x14ac:dyDescent="0.25">
      <c r="B67" t="s">
        <v>114</v>
      </c>
      <c r="C67" s="4" t="s">
        <v>94</v>
      </c>
      <c r="D67" s="4" t="s">
        <v>116</v>
      </c>
      <c r="E67" s="6">
        <v>124.55</v>
      </c>
      <c r="F67" s="9"/>
      <c r="G67" s="13">
        <f t="shared" si="10"/>
        <v>0</v>
      </c>
    </row>
    <row r="68" spans="2:7" x14ac:dyDescent="0.25">
      <c r="B68" t="s">
        <v>114</v>
      </c>
      <c r="C68" s="4" t="s">
        <v>94</v>
      </c>
      <c r="D68" s="4" t="s">
        <v>117</v>
      </c>
      <c r="E68" s="6">
        <v>223.83</v>
      </c>
      <c r="F68" s="9"/>
      <c r="G68" s="13">
        <f t="shared" si="10"/>
        <v>0</v>
      </c>
    </row>
    <row r="69" spans="2:7" x14ac:dyDescent="0.25">
      <c r="B69" t="s">
        <v>118</v>
      </c>
      <c r="C69" s="4" t="s">
        <v>22</v>
      </c>
      <c r="D69" s="4" t="s">
        <v>95</v>
      </c>
      <c r="E69" s="6">
        <v>18.63</v>
      </c>
      <c r="F69" s="9"/>
      <c r="G69" s="13">
        <f t="shared" si="10"/>
        <v>0</v>
      </c>
    </row>
    <row r="70" spans="2:7" x14ac:dyDescent="0.25">
      <c r="B70" t="s">
        <v>119</v>
      </c>
      <c r="C70" s="4" t="s">
        <v>95</v>
      </c>
      <c r="D70" s="4" t="s">
        <v>120</v>
      </c>
      <c r="E70" s="6">
        <v>112.54</v>
      </c>
      <c r="F70" s="9"/>
      <c r="G70" s="13">
        <f t="shared" si="10"/>
        <v>0</v>
      </c>
    </row>
    <row r="71" spans="2:7" x14ac:dyDescent="0.25">
      <c r="B71" t="s">
        <v>121</v>
      </c>
      <c r="C71" s="4" t="s">
        <v>95</v>
      </c>
      <c r="D71" s="4" t="s">
        <v>122</v>
      </c>
      <c r="E71" s="6">
        <v>27.85</v>
      </c>
      <c r="F71" s="9"/>
      <c r="G71" s="13">
        <f t="shared" si="10"/>
        <v>0</v>
      </c>
    </row>
    <row r="73" spans="2:7" x14ac:dyDescent="0.25">
      <c r="B73" t="s">
        <v>125</v>
      </c>
      <c r="C73" s="4" t="s">
        <v>127</v>
      </c>
      <c r="D73" s="4" t="s">
        <v>126</v>
      </c>
      <c r="E73" s="6">
        <v>72.83</v>
      </c>
      <c r="F73" s="14"/>
      <c r="G73" s="13">
        <f t="shared" si="10"/>
        <v>0</v>
      </c>
    </row>
    <row r="74" spans="2:7" x14ac:dyDescent="0.25">
      <c r="B74" t="s">
        <v>128</v>
      </c>
      <c r="C74" s="4" t="s">
        <v>129</v>
      </c>
      <c r="D74" s="4">
        <v>1000</v>
      </c>
      <c r="E74" s="6">
        <v>22.29</v>
      </c>
      <c r="F74" s="14"/>
      <c r="G74" s="13">
        <f t="shared" si="10"/>
        <v>0</v>
      </c>
    </row>
    <row r="75" spans="2:7" x14ac:dyDescent="0.25">
      <c r="B75" t="s">
        <v>130</v>
      </c>
      <c r="C75" s="4" t="s">
        <v>129</v>
      </c>
      <c r="D75" s="4">
        <v>1000</v>
      </c>
      <c r="E75" s="6">
        <v>19.2</v>
      </c>
      <c r="F75" s="14"/>
      <c r="G75" s="13">
        <f t="shared" si="10"/>
        <v>0</v>
      </c>
    </row>
    <row r="76" spans="2:7" x14ac:dyDescent="0.25">
      <c r="B76" t="s">
        <v>132</v>
      </c>
      <c r="C76" s="4" t="s">
        <v>129</v>
      </c>
      <c r="D76" s="4">
        <v>1000</v>
      </c>
      <c r="E76" s="6">
        <v>22.93</v>
      </c>
      <c r="F76" s="14"/>
      <c r="G76" s="13">
        <f t="shared" si="10"/>
        <v>0</v>
      </c>
    </row>
    <row r="77" spans="2:7" x14ac:dyDescent="0.25">
      <c r="B77" t="s">
        <v>131</v>
      </c>
      <c r="C77" s="4" t="s">
        <v>129</v>
      </c>
      <c r="D77" s="4">
        <v>1000</v>
      </c>
      <c r="E77" s="6">
        <v>16.559999999999999</v>
      </c>
      <c r="F77" s="14"/>
      <c r="G77" s="13">
        <f t="shared" si="10"/>
        <v>0</v>
      </c>
    </row>
    <row r="78" spans="2:7" x14ac:dyDescent="0.25">
      <c r="B78" t="s">
        <v>183</v>
      </c>
      <c r="D78" s="4">
        <v>1</v>
      </c>
      <c r="E78" s="6">
        <v>14.02</v>
      </c>
      <c r="F78" s="14"/>
      <c r="G78" s="13">
        <f t="shared" si="10"/>
        <v>0</v>
      </c>
    </row>
    <row r="79" spans="2:7" x14ac:dyDescent="0.25">
      <c r="B79" t="s">
        <v>184</v>
      </c>
      <c r="D79" s="4">
        <v>1</v>
      </c>
      <c r="E79" s="6">
        <v>5.59</v>
      </c>
      <c r="F79" s="14"/>
      <c r="G79" s="13">
        <f t="shared" si="10"/>
        <v>0</v>
      </c>
    </row>
    <row r="80" spans="2:7" x14ac:dyDescent="0.25">
      <c r="B80" t="s">
        <v>185</v>
      </c>
      <c r="D80" s="4">
        <v>1</v>
      </c>
      <c r="E80" s="6">
        <v>5.01</v>
      </c>
      <c r="F80" s="14"/>
      <c r="G80" s="13">
        <f t="shared" si="10"/>
        <v>0</v>
      </c>
    </row>
    <row r="81" spans="2:7" x14ac:dyDescent="0.25">
      <c r="B81" t="s">
        <v>186</v>
      </c>
      <c r="D81" s="4">
        <v>1</v>
      </c>
      <c r="E81" s="6">
        <v>22.01</v>
      </c>
      <c r="F81" s="14"/>
      <c r="G81" s="13">
        <f t="shared" si="10"/>
        <v>0</v>
      </c>
    </row>
    <row r="82" spans="2:7" x14ac:dyDescent="0.25">
      <c r="B82" t="s">
        <v>261</v>
      </c>
      <c r="C82" s="4" t="s">
        <v>22</v>
      </c>
      <c r="D82" s="4">
        <v>1</v>
      </c>
      <c r="E82" s="6">
        <v>28</v>
      </c>
      <c r="F82" s="14"/>
      <c r="G82" s="13">
        <f t="shared" si="10"/>
        <v>0</v>
      </c>
    </row>
    <row r="83" spans="2:7" x14ac:dyDescent="0.25">
      <c r="G83" s="13"/>
    </row>
    <row r="84" spans="2:7" x14ac:dyDescent="0.25">
      <c r="B84" t="s">
        <v>101</v>
      </c>
      <c r="D84"/>
      <c r="E84" s="6">
        <v>8</v>
      </c>
      <c r="F84" s="9"/>
      <c r="G84" s="6">
        <f>E84*F84</f>
        <v>0</v>
      </c>
    </row>
  </sheetData>
  <mergeCells count="1">
    <mergeCell ref="J4:L4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F27BB-4CB1-4028-9486-158A6EF81F7A}">
  <sheetPr codeName="Sheet8"/>
  <dimension ref="B2:M55"/>
  <sheetViews>
    <sheetView workbookViewId="0">
      <selection activeCell="E1" sqref="E1:E1048576"/>
    </sheetView>
  </sheetViews>
  <sheetFormatPr defaultRowHeight="15" x14ac:dyDescent="0.25"/>
  <cols>
    <col min="1" max="1" width="3.5703125" customWidth="1"/>
    <col min="2" max="2" width="44.140625" customWidth="1"/>
    <col min="3" max="3" width="10.7109375" customWidth="1"/>
    <col min="4" max="4" width="10" style="4" customWidth="1"/>
    <col min="13" max="13" width="9.140625" bestFit="1" customWidth="1"/>
  </cols>
  <sheetData>
    <row r="2" spans="2:13" x14ac:dyDescent="0.25">
      <c r="B2" s="1" t="s">
        <v>0</v>
      </c>
    </row>
    <row r="4" spans="2:13" x14ac:dyDescent="0.25">
      <c r="B4" s="1" t="s">
        <v>3</v>
      </c>
      <c r="C4" s="1" t="s">
        <v>11</v>
      </c>
      <c r="D4" s="5" t="s">
        <v>1</v>
      </c>
      <c r="E4" s="1"/>
      <c r="F4" s="1" t="s">
        <v>2</v>
      </c>
      <c r="J4" s="30" t="s">
        <v>55</v>
      </c>
      <c r="K4" s="30"/>
      <c r="L4" s="30"/>
      <c r="M4" s="2">
        <f>SUM(F5:F61)</f>
        <v>0</v>
      </c>
    </row>
    <row r="5" spans="2:13" x14ac:dyDescent="0.25">
      <c r="D5" s="6"/>
    </row>
    <row r="6" spans="2:13" x14ac:dyDescent="0.25">
      <c r="B6" t="s">
        <v>198</v>
      </c>
      <c r="C6" t="s">
        <v>12</v>
      </c>
      <c r="D6" s="6">
        <v>48.55</v>
      </c>
      <c r="E6" s="9"/>
      <c r="F6" s="6">
        <f>D6*E6</f>
        <v>0</v>
      </c>
    </row>
    <row r="7" spans="2:13" x14ac:dyDescent="0.25">
      <c r="B7" t="s">
        <v>199</v>
      </c>
      <c r="C7" t="s">
        <v>12</v>
      </c>
      <c r="D7" s="6"/>
      <c r="E7" s="9"/>
      <c r="F7" s="6">
        <f>D7*E7</f>
        <v>0</v>
      </c>
    </row>
    <row r="8" spans="2:13" x14ac:dyDescent="0.25">
      <c r="B8" t="s">
        <v>211</v>
      </c>
      <c r="C8" t="s">
        <v>12</v>
      </c>
      <c r="D8" s="6">
        <v>65.34</v>
      </c>
      <c r="E8" s="9"/>
      <c r="F8" s="6">
        <f>D8*E8</f>
        <v>0</v>
      </c>
    </row>
    <row r="9" spans="2:13" x14ac:dyDescent="0.25">
      <c r="B9" t="s">
        <v>200</v>
      </c>
      <c r="C9" t="s">
        <v>12</v>
      </c>
      <c r="D9" s="6">
        <v>90.8</v>
      </c>
      <c r="E9" s="9"/>
      <c r="F9" s="6">
        <f>D9*E9</f>
        <v>0</v>
      </c>
    </row>
    <row r="10" spans="2:13" x14ac:dyDescent="0.25">
      <c r="B10" t="s">
        <v>200</v>
      </c>
      <c r="C10" t="s">
        <v>13</v>
      </c>
      <c r="D10" s="6">
        <v>126.53</v>
      </c>
      <c r="E10" s="9"/>
      <c r="F10" s="6">
        <f>D10*E10</f>
        <v>0</v>
      </c>
    </row>
    <row r="11" spans="2:13" x14ac:dyDescent="0.25">
      <c r="D11" s="6"/>
    </row>
    <row r="12" spans="2:13" x14ac:dyDescent="0.25">
      <c r="B12" t="s">
        <v>205</v>
      </c>
      <c r="C12" t="s">
        <v>12</v>
      </c>
      <c r="D12" s="6"/>
      <c r="E12" s="9"/>
      <c r="F12" s="6">
        <f t="shared" ref="F12:F22" si="0">D12*E12</f>
        <v>0</v>
      </c>
    </row>
    <row r="13" spans="2:13" x14ac:dyDescent="0.25">
      <c r="B13" t="s">
        <v>205</v>
      </c>
      <c r="C13" t="s">
        <v>13</v>
      </c>
      <c r="D13" s="6">
        <v>18.579999999999998</v>
      </c>
      <c r="E13" s="9"/>
      <c r="F13" s="6">
        <f t="shared" si="0"/>
        <v>0</v>
      </c>
    </row>
    <row r="14" spans="2:13" x14ac:dyDescent="0.25">
      <c r="B14" t="s">
        <v>203</v>
      </c>
      <c r="C14" t="s">
        <v>12</v>
      </c>
      <c r="D14" s="6">
        <v>31.33</v>
      </c>
      <c r="E14" s="9"/>
      <c r="F14" s="6">
        <f t="shared" si="0"/>
        <v>0</v>
      </c>
    </row>
    <row r="15" spans="2:13" x14ac:dyDescent="0.25">
      <c r="B15" t="s">
        <v>203</v>
      </c>
      <c r="C15" t="s">
        <v>13</v>
      </c>
      <c r="D15" s="6"/>
      <c r="E15" s="9"/>
      <c r="F15" s="6">
        <f t="shared" si="0"/>
        <v>0</v>
      </c>
    </row>
    <row r="16" spans="2:13" x14ac:dyDescent="0.25">
      <c r="B16" t="s">
        <v>201</v>
      </c>
      <c r="C16" t="s">
        <v>12</v>
      </c>
      <c r="D16" s="6">
        <v>37.21</v>
      </c>
      <c r="E16" s="9"/>
      <c r="F16" s="6">
        <f t="shared" si="0"/>
        <v>0</v>
      </c>
    </row>
    <row r="17" spans="2:6" x14ac:dyDescent="0.25">
      <c r="B17" t="s">
        <v>201</v>
      </c>
      <c r="C17" t="s">
        <v>13</v>
      </c>
      <c r="D17" s="6"/>
      <c r="E17" s="9"/>
      <c r="F17" s="6">
        <f t="shared" si="0"/>
        <v>0</v>
      </c>
    </row>
    <row r="18" spans="2:6" x14ac:dyDescent="0.25">
      <c r="B18" t="s">
        <v>202</v>
      </c>
      <c r="C18" t="s">
        <v>12</v>
      </c>
      <c r="D18" s="6">
        <v>53.2</v>
      </c>
      <c r="E18" s="9"/>
      <c r="F18" s="6">
        <f t="shared" si="0"/>
        <v>0</v>
      </c>
    </row>
    <row r="19" spans="2:6" x14ac:dyDescent="0.25">
      <c r="B19" t="s">
        <v>202</v>
      </c>
      <c r="C19" t="s">
        <v>13</v>
      </c>
      <c r="D19" s="6">
        <v>96.66</v>
      </c>
      <c r="E19" s="9"/>
      <c r="F19" s="6">
        <f t="shared" si="0"/>
        <v>0</v>
      </c>
    </row>
    <row r="20" spans="2:6" x14ac:dyDescent="0.25">
      <c r="B20" t="s">
        <v>202</v>
      </c>
      <c r="C20" t="s">
        <v>178</v>
      </c>
      <c r="D20" s="6">
        <v>113.27</v>
      </c>
      <c r="E20" s="9"/>
      <c r="F20" s="6">
        <f t="shared" si="0"/>
        <v>0</v>
      </c>
    </row>
    <row r="21" spans="2:6" x14ac:dyDescent="0.25">
      <c r="B21" t="s">
        <v>204</v>
      </c>
      <c r="C21" t="s">
        <v>12</v>
      </c>
      <c r="D21" s="6"/>
      <c r="E21" s="9"/>
      <c r="F21" s="6">
        <f t="shared" si="0"/>
        <v>0</v>
      </c>
    </row>
    <row r="22" spans="2:6" x14ac:dyDescent="0.25">
      <c r="B22" t="s">
        <v>204</v>
      </c>
      <c r="C22" t="s">
        <v>13</v>
      </c>
      <c r="D22" s="6">
        <v>178.37</v>
      </c>
      <c r="E22" s="9"/>
      <c r="F22" s="6">
        <f t="shared" si="0"/>
        <v>0</v>
      </c>
    </row>
    <row r="24" spans="2:6" x14ac:dyDescent="0.25">
      <c r="B24" t="s">
        <v>210</v>
      </c>
      <c r="C24" t="s">
        <v>12</v>
      </c>
      <c r="D24" s="6">
        <v>169.32</v>
      </c>
      <c r="E24" s="9"/>
      <c r="F24" s="6">
        <f>D24*E24</f>
        <v>0</v>
      </c>
    </row>
    <row r="25" spans="2:6" x14ac:dyDescent="0.25">
      <c r="B25" t="s">
        <v>209</v>
      </c>
      <c r="C25" t="s">
        <v>12</v>
      </c>
      <c r="D25" s="6">
        <v>228</v>
      </c>
      <c r="E25" s="9"/>
      <c r="F25" s="6">
        <f>D25*E25</f>
        <v>0</v>
      </c>
    </row>
    <row r="27" spans="2:6" x14ac:dyDescent="0.25">
      <c r="B27" t="s">
        <v>206</v>
      </c>
      <c r="C27" t="s">
        <v>178</v>
      </c>
      <c r="D27" s="6">
        <v>240.82</v>
      </c>
      <c r="E27" s="9"/>
      <c r="F27" s="6">
        <f>D27*E27</f>
        <v>0</v>
      </c>
    </row>
    <row r="29" spans="2:6" x14ac:dyDescent="0.25">
      <c r="B29" s="3" t="s">
        <v>111</v>
      </c>
      <c r="D29" s="6"/>
    </row>
    <row r="30" spans="2:6" x14ac:dyDescent="0.25">
      <c r="B30" t="s">
        <v>287</v>
      </c>
      <c r="C30" t="s">
        <v>12</v>
      </c>
      <c r="D30" s="6">
        <v>105</v>
      </c>
      <c r="E30" s="9"/>
      <c r="F30" s="6">
        <f t="shared" ref="F30:F37" si="1">D30*E30</f>
        <v>0</v>
      </c>
    </row>
    <row r="31" spans="2:6" x14ac:dyDescent="0.25">
      <c r="B31" t="s">
        <v>286</v>
      </c>
      <c r="C31" t="s">
        <v>12</v>
      </c>
      <c r="D31" s="6">
        <v>134</v>
      </c>
      <c r="E31" s="9"/>
      <c r="F31" s="6">
        <f t="shared" si="1"/>
        <v>0</v>
      </c>
    </row>
    <row r="32" spans="2:6" x14ac:dyDescent="0.25">
      <c r="B32" t="s">
        <v>292</v>
      </c>
      <c r="C32" t="s">
        <v>12</v>
      </c>
      <c r="D32" s="6">
        <v>139</v>
      </c>
      <c r="E32" s="9"/>
      <c r="F32" s="6">
        <f t="shared" si="1"/>
        <v>0</v>
      </c>
    </row>
    <row r="33" spans="2:6" x14ac:dyDescent="0.25">
      <c r="B33" t="s">
        <v>288</v>
      </c>
      <c r="C33" t="s">
        <v>12</v>
      </c>
      <c r="D33" s="6">
        <v>168</v>
      </c>
      <c r="E33" s="9"/>
      <c r="F33" s="6">
        <f t="shared" si="1"/>
        <v>0</v>
      </c>
    </row>
    <row r="34" spans="2:6" x14ac:dyDescent="0.25">
      <c r="B34" t="s">
        <v>291</v>
      </c>
      <c r="C34" t="s">
        <v>12</v>
      </c>
      <c r="D34" s="6">
        <v>146</v>
      </c>
      <c r="E34" s="9"/>
      <c r="F34" s="6">
        <f t="shared" si="1"/>
        <v>0</v>
      </c>
    </row>
    <row r="35" spans="2:6" x14ac:dyDescent="0.25">
      <c r="B35" t="s">
        <v>100</v>
      </c>
      <c r="C35" t="s">
        <v>12</v>
      </c>
      <c r="D35" s="6">
        <v>175</v>
      </c>
      <c r="E35" s="9"/>
      <c r="F35" s="6">
        <f t="shared" si="1"/>
        <v>0</v>
      </c>
    </row>
    <row r="36" spans="2:6" x14ac:dyDescent="0.25">
      <c r="B36" t="s">
        <v>290</v>
      </c>
      <c r="C36" t="s">
        <v>12</v>
      </c>
      <c r="D36" s="6">
        <v>208</v>
      </c>
      <c r="E36" s="9"/>
      <c r="F36" s="6">
        <f t="shared" si="1"/>
        <v>0</v>
      </c>
    </row>
    <row r="37" spans="2:6" x14ac:dyDescent="0.25">
      <c r="B37" t="s">
        <v>289</v>
      </c>
      <c r="C37" t="s">
        <v>12</v>
      </c>
      <c r="D37" s="6">
        <v>237</v>
      </c>
      <c r="E37" s="9"/>
      <c r="F37" s="6">
        <f t="shared" si="1"/>
        <v>0</v>
      </c>
    </row>
    <row r="38" spans="2:6" x14ac:dyDescent="0.25">
      <c r="D38" s="6"/>
    </row>
    <row r="39" spans="2:6" x14ac:dyDescent="0.25">
      <c r="B39" s="3" t="s">
        <v>212</v>
      </c>
      <c r="D39" s="6"/>
    </row>
    <row r="40" spans="2:6" x14ac:dyDescent="0.25">
      <c r="B40" t="s">
        <v>213</v>
      </c>
      <c r="C40" t="s">
        <v>12</v>
      </c>
      <c r="D40" s="6">
        <v>120</v>
      </c>
      <c r="E40" s="9"/>
      <c r="F40" s="6">
        <f>D40*E40</f>
        <v>0</v>
      </c>
    </row>
    <row r="42" spans="2:6" x14ac:dyDescent="0.25">
      <c r="B42" s="3" t="s">
        <v>9</v>
      </c>
    </row>
    <row r="43" spans="2:6" x14ac:dyDescent="0.25">
      <c r="B43" t="s">
        <v>207</v>
      </c>
      <c r="C43" t="s">
        <v>208</v>
      </c>
      <c r="D43" s="6">
        <v>386</v>
      </c>
      <c r="E43" s="9"/>
      <c r="F43" s="6">
        <f>D43*E43</f>
        <v>0</v>
      </c>
    </row>
    <row r="44" spans="2:6" x14ac:dyDescent="0.25">
      <c r="B44" t="s">
        <v>112</v>
      </c>
      <c r="C44" t="s">
        <v>14</v>
      </c>
      <c r="D44" s="6">
        <v>54.54</v>
      </c>
      <c r="E44" s="9"/>
      <c r="F44" s="6">
        <f>D44*E44</f>
        <v>0</v>
      </c>
    </row>
    <row r="45" spans="2:6" x14ac:dyDescent="0.25">
      <c r="B45" t="s">
        <v>123</v>
      </c>
      <c r="C45" t="s">
        <v>14</v>
      </c>
      <c r="D45" s="6">
        <v>79.09</v>
      </c>
      <c r="E45" s="9"/>
      <c r="F45" s="6">
        <f>D45*E45</f>
        <v>0</v>
      </c>
    </row>
    <row r="46" spans="2:6" x14ac:dyDescent="0.25">
      <c r="B46" t="s">
        <v>124</v>
      </c>
      <c r="C46" t="s">
        <v>14</v>
      </c>
      <c r="D46" s="6">
        <v>130</v>
      </c>
      <c r="E46" s="9"/>
      <c r="F46" s="6">
        <f>D46*E46</f>
        <v>0</v>
      </c>
    </row>
    <row r="48" spans="2:6" x14ac:dyDescent="0.25">
      <c r="B48" t="s">
        <v>295</v>
      </c>
      <c r="C48" t="s">
        <v>12</v>
      </c>
      <c r="D48" s="6">
        <v>264</v>
      </c>
      <c r="E48" s="9"/>
      <c r="F48" s="6">
        <f>D48*E48</f>
        <v>0</v>
      </c>
    </row>
    <row r="49" spans="2:6" x14ac:dyDescent="0.25">
      <c r="B49" t="s">
        <v>295</v>
      </c>
      <c r="C49" t="s">
        <v>296</v>
      </c>
      <c r="D49" s="6">
        <v>327</v>
      </c>
      <c r="E49" s="9"/>
      <c r="F49" s="6">
        <f>D49*E49</f>
        <v>0</v>
      </c>
    </row>
    <row r="50" spans="2:6" x14ac:dyDescent="0.25">
      <c r="B50" t="s">
        <v>297</v>
      </c>
      <c r="C50" t="s">
        <v>14</v>
      </c>
      <c r="D50" s="6">
        <v>155</v>
      </c>
      <c r="E50" s="9"/>
      <c r="F50" s="6">
        <f>D50*E50</f>
        <v>0</v>
      </c>
    </row>
    <row r="51" spans="2:6" x14ac:dyDescent="0.25">
      <c r="B51" t="s">
        <v>298</v>
      </c>
      <c r="C51" t="s">
        <v>299</v>
      </c>
      <c r="D51" s="6">
        <v>115</v>
      </c>
      <c r="E51" s="9"/>
      <c r="F51" s="6">
        <f>D51*E51</f>
        <v>0</v>
      </c>
    </row>
    <row r="52" spans="2:6" ht="15.75" x14ac:dyDescent="0.25">
      <c r="B52" s="29"/>
    </row>
    <row r="53" spans="2:6" x14ac:dyDescent="0.25">
      <c r="B53" t="s">
        <v>301</v>
      </c>
      <c r="C53" t="s">
        <v>300</v>
      </c>
      <c r="D53" s="6">
        <v>17.059999999999999</v>
      </c>
      <c r="E53" s="9"/>
      <c r="F53" s="6">
        <f>D53*E53</f>
        <v>0</v>
      </c>
    </row>
    <row r="54" spans="2:6" x14ac:dyDescent="0.25">
      <c r="D54" s="6"/>
    </row>
    <row r="55" spans="2:6" x14ac:dyDescent="0.25">
      <c r="B55" t="s">
        <v>101</v>
      </c>
      <c r="D55" s="6">
        <v>65</v>
      </c>
      <c r="E55" s="9"/>
      <c r="F55" s="6">
        <f>D55*E55</f>
        <v>0</v>
      </c>
    </row>
  </sheetData>
  <mergeCells count="1">
    <mergeCell ref="J4:L4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93605-217C-4256-B11C-A3D4D549EE8F}">
  <sheetPr codeName="Sheet9"/>
  <dimension ref="B2:M35"/>
  <sheetViews>
    <sheetView workbookViewId="0">
      <selection activeCell="E10" sqref="E1:E1048576"/>
    </sheetView>
  </sheetViews>
  <sheetFormatPr defaultRowHeight="15" x14ac:dyDescent="0.25"/>
  <cols>
    <col min="1" max="1" width="3.5703125" customWidth="1"/>
    <col min="2" max="2" width="26.42578125" bestFit="1" customWidth="1"/>
    <col min="3" max="3" width="10.7109375" customWidth="1"/>
    <col min="4" max="4" width="10" style="4" customWidth="1"/>
    <col min="13" max="13" width="9.140625" bestFit="1" customWidth="1"/>
  </cols>
  <sheetData>
    <row r="2" spans="2:13" x14ac:dyDescent="0.25">
      <c r="B2" s="1" t="s">
        <v>0</v>
      </c>
    </row>
    <row r="4" spans="2:13" x14ac:dyDescent="0.25">
      <c r="B4" s="1" t="s">
        <v>3</v>
      </c>
      <c r="C4" s="1" t="s">
        <v>11</v>
      </c>
      <c r="D4" s="5" t="s">
        <v>1</v>
      </c>
      <c r="E4" s="1"/>
      <c r="F4" s="1" t="s">
        <v>2</v>
      </c>
      <c r="J4" s="30" t="s">
        <v>55</v>
      </c>
      <c r="K4" s="30"/>
      <c r="L4" s="30"/>
      <c r="M4" s="2">
        <f>SUM(F5:F37)</f>
        <v>0</v>
      </c>
    </row>
    <row r="5" spans="2:13" x14ac:dyDescent="0.25">
      <c r="D5" s="6"/>
    </row>
    <row r="6" spans="2:13" x14ac:dyDescent="0.25">
      <c r="B6" s="3" t="s">
        <v>5</v>
      </c>
      <c r="D6" s="6"/>
    </row>
    <row r="7" spans="2:13" x14ac:dyDescent="0.25">
      <c r="B7" t="s">
        <v>79</v>
      </c>
      <c r="C7" t="s">
        <v>12</v>
      </c>
      <c r="D7" s="6">
        <v>236.16</v>
      </c>
      <c r="E7" s="9"/>
      <c r="F7" s="6">
        <f>D7*E7</f>
        <v>0</v>
      </c>
    </row>
    <row r="8" spans="2:13" x14ac:dyDescent="0.25">
      <c r="B8" t="s">
        <v>80</v>
      </c>
      <c r="C8" t="s">
        <v>12</v>
      </c>
      <c r="D8" s="6">
        <v>256.31</v>
      </c>
      <c r="E8" s="9"/>
      <c r="F8" s="6">
        <f>D8*E8</f>
        <v>0</v>
      </c>
    </row>
    <row r="9" spans="2:13" x14ac:dyDescent="0.25">
      <c r="B9" t="s">
        <v>90</v>
      </c>
      <c r="C9" t="s">
        <v>12</v>
      </c>
      <c r="D9" s="6">
        <v>236.16</v>
      </c>
      <c r="E9" s="9"/>
      <c r="F9" s="6">
        <f>D9*E9</f>
        <v>0</v>
      </c>
    </row>
    <row r="10" spans="2:13" x14ac:dyDescent="0.25">
      <c r="B10" t="s">
        <v>254</v>
      </c>
      <c r="C10" t="s">
        <v>12</v>
      </c>
      <c r="D10" s="6">
        <v>241.92</v>
      </c>
      <c r="E10" s="9"/>
      <c r="F10" s="6">
        <f>D10*E10</f>
        <v>0</v>
      </c>
    </row>
    <row r="11" spans="2:13" x14ac:dyDescent="0.25">
      <c r="D11" s="6"/>
    </row>
    <row r="12" spans="2:13" x14ac:dyDescent="0.25">
      <c r="D12" s="6"/>
    </row>
    <row r="13" spans="2:13" x14ac:dyDescent="0.25">
      <c r="B13" s="3" t="s">
        <v>81</v>
      </c>
      <c r="D13" s="6"/>
    </row>
    <row r="14" spans="2:13" x14ac:dyDescent="0.25">
      <c r="B14" t="s">
        <v>82</v>
      </c>
      <c r="C14" t="s">
        <v>12</v>
      </c>
      <c r="D14" s="6">
        <v>383.05</v>
      </c>
      <c r="E14" s="9"/>
      <c r="F14" s="6">
        <f>D14*E14</f>
        <v>0</v>
      </c>
    </row>
    <row r="15" spans="2:13" x14ac:dyDescent="0.25">
      <c r="D15" s="6"/>
    </row>
    <row r="16" spans="2:13" x14ac:dyDescent="0.25">
      <c r="D16" s="6"/>
    </row>
    <row r="17" spans="2:6" x14ac:dyDescent="0.25">
      <c r="D17" s="6"/>
    </row>
    <row r="18" spans="2:6" x14ac:dyDescent="0.25">
      <c r="B18" s="3" t="s">
        <v>83</v>
      </c>
      <c r="D18" s="6"/>
    </row>
    <row r="19" spans="2:6" x14ac:dyDescent="0.25">
      <c r="B19" t="s">
        <v>84</v>
      </c>
      <c r="C19" t="s">
        <v>85</v>
      </c>
      <c r="D19" s="6">
        <v>577.77</v>
      </c>
      <c r="E19" s="9"/>
      <c r="F19" s="6">
        <f>D19*E19</f>
        <v>0</v>
      </c>
    </row>
    <row r="20" spans="2:6" x14ac:dyDescent="0.25">
      <c r="B20" t="s">
        <v>84</v>
      </c>
      <c r="C20" t="s">
        <v>86</v>
      </c>
      <c r="D20" s="6">
        <v>288.88</v>
      </c>
      <c r="E20" s="9"/>
      <c r="F20" s="6">
        <f>D20*E20</f>
        <v>0</v>
      </c>
    </row>
    <row r="21" spans="2:6" x14ac:dyDescent="0.25">
      <c r="B21" t="s">
        <v>89</v>
      </c>
      <c r="C21" t="s">
        <v>13</v>
      </c>
      <c r="D21" s="6">
        <v>444.97</v>
      </c>
      <c r="E21" s="9"/>
      <c r="F21" s="6">
        <f>D21*E21</f>
        <v>0</v>
      </c>
    </row>
    <row r="22" spans="2:6" x14ac:dyDescent="0.25">
      <c r="B22" t="s">
        <v>255</v>
      </c>
      <c r="C22" t="s">
        <v>256</v>
      </c>
      <c r="D22" s="6">
        <v>286.2</v>
      </c>
      <c r="E22" s="9"/>
      <c r="F22" s="6">
        <f>D22*E22</f>
        <v>0</v>
      </c>
    </row>
    <row r="23" spans="2:6" x14ac:dyDescent="0.25">
      <c r="D23" s="6"/>
    </row>
    <row r="24" spans="2:6" x14ac:dyDescent="0.25">
      <c r="B24" s="3" t="s">
        <v>9</v>
      </c>
      <c r="D24" s="6"/>
    </row>
    <row r="25" spans="2:6" x14ac:dyDescent="0.25">
      <c r="B25" t="s">
        <v>87</v>
      </c>
      <c r="C25" t="s">
        <v>14</v>
      </c>
      <c r="D25" s="6">
        <v>171.99</v>
      </c>
      <c r="E25" s="9"/>
      <c r="F25" s="6">
        <f>D25*E25</f>
        <v>0</v>
      </c>
    </row>
    <row r="26" spans="2:6" x14ac:dyDescent="0.25">
      <c r="B26" t="s">
        <v>91</v>
      </c>
      <c r="C26" t="s">
        <v>14</v>
      </c>
      <c r="D26" s="6">
        <v>84</v>
      </c>
      <c r="E26" s="9"/>
      <c r="F26" s="6">
        <f>D26*E26</f>
        <v>0</v>
      </c>
    </row>
    <row r="27" spans="2:6" x14ac:dyDescent="0.25">
      <c r="B27" t="s">
        <v>91</v>
      </c>
      <c r="C27" t="s">
        <v>88</v>
      </c>
      <c r="D27" s="6">
        <v>28</v>
      </c>
      <c r="E27" s="9"/>
      <c r="F27" s="6">
        <f>D27*E27</f>
        <v>0</v>
      </c>
    </row>
    <row r="28" spans="2:6" x14ac:dyDescent="0.25">
      <c r="B28" t="s">
        <v>92</v>
      </c>
      <c r="C28" t="s">
        <v>14</v>
      </c>
      <c r="D28" s="6">
        <v>84</v>
      </c>
      <c r="E28" s="9"/>
      <c r="F28" s="6">
        <f>D28*E28</f>
        <v>0</v>
      </c>
    </row>
    <row r="29" spans="2:6" x14ac:dyDescent="0.25">
      <c r="B29" t="s">
        <v>92</v>
      </c>
      <c r="C29" t="s">
        <v>88</v>
      </c>
      <c r="D29" s="6">
        <v>28</v>
      </c>
      <c r="E29" s="9"/>
      <c r="F29" s="6">
        <f>D29*E29</f>
        <v>0</v>
      </c>
    </row>
    <row r="30" spans="2:6" x14ac:dyDescent="0.25">
      <c r="D30" s="6"/>
    </row>
    <row r="31" spans="2:6" x14ac:dyDescent="0.25">
      <c r="D31" s="6"/>
    </row>
    <row r="32" spans="2:6" x14ac:dyDescent="0.25">
      <c r="D32" s="6"/>
    </row>
    <row r="33" spans="4:4" x14ac:dyDescent="0.25">
      <c r="D33" s="6"/>
    </row>
    <row r="34" spans="4:4" x14ac:dyDescent="0.25">
      <c r="D34" s="6"/>
    </row>
    <row r="35" spans="4:4" x14ac:dyDescent="0.25">
      <c r="D35" s="6"/>
    </row>
  </sheetData>
  <mergeCells count="1">
    <mergeCell ref="J4:L4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6259A-A774-494B-83CA-68491D9FFAF6}">
  <sheetPr codeName="Sheet10"/>
  <dimension ref="B2:M40"/>
  <sheetViews>
    <sheetView workbookViewId="0">
      <selection activeCell="E1" sqref="E1:E1048576"/>
    </sheetView>
  </sheetViews>
  <sheetFormatPr defaultRowHeight="15" x14ac:dyDescent="0.25"/>
  <cols>
    <col min="1" max="1" width="3.5703125" customWidth="1"/>
    <col min="2" max="2" width="35.85546875" customWidth="1"/>
    <col min="3" max="3" width="13.5703125" bestFit="1" customWidth="1"/>
    <col min="4" max="4" width="10" style="4" customWidth="1"/>
  </cols>
  <sheetData>
    <row r="2" spans="2:13" x14ac:dyDescent="0.25">
      <c r="B2" s="1" t="s">
        <v>64</v>
      </c>
    </row>
    <row r="4" spans="2:13" x14ac:dyDescent="0.25">
      <c r="B4" s="1" t="s">
        <v>65</v>
      </c>
      <c r="C4" s="1" t="s">
        <v>11</v>
      </c>
      <c r="D4" s="5" t="s">
        <v>1</v>
      </c>
      <c r="E4" s="1"/>
      <c r="F4" s="1" t="s">
        <v>2</v>
      </c>
      <c r="J4" s="30" t="s">
        <v>55</v>
      </c>
      <c r="K4" s="30"/>
      <c r="L4" s="30"/>
      <c r="M4" s="2">
        <f>SUM(F5:F43)</f>
        <v>0</v>
      </c>
    </row>
    <row r="5" spans="2:13" x14ac:dyDescent="0.25">
      <c r="D5" s="6"/>
    </row>
    <row r="6" spans="2:13" x14ac:dyDescent="0.25">
      <c r="B6" t="s">
        <v>66</v>
      </c>
      <c r="C6" s="12">
        <v>35</v>
      </c>
      <c r="D6" s="6">
        <v>1.76</v>
      </c>
      <c r="E6" s="9"/>
      <c r="F6" s="6">
        <f>D6*E6</f>
        <v>0</v>
      </c>
    </row>
    <row r="7" spans="2:13" x14ac:dyDescent="0.25">
      <c r="B7" t="s">
        <v>66</v>
      </c>
      <c r="C7" s="12">
        <v>60</v>
      </c>
      <c r="D7" s="6">
        <v>1.29</v>
      </c>
      <c r="E7" s="9"/>
      <c r="F7" s="6">
        <f>D7*E7</f>
        <v>0</v>
      </c>
    </row>
    <row r="8" spans="2:13" x14ac:dyDescent="0.25">
      <c r="B8" t="s">
        <v>66</v>
      </c>
      <c r="C8" s="12">
        <v>80</v>
      </c>
      <c r="D8" s="6">
        <v>1.29</v>
      </c>
      <c r="E8" s="9"/>
      <c r="F8" s="6">
        <f t="shared" ref="F8:F13" si="0">D8*E8</f>
        <v>0</v>
      </c>
    </row>
    <row r="9" spans="2:13" x14ac:dyDescent="0.25">
      <c r="B9" t="s">
        <v>66</v>
      </c>
      <c r="C9" s="12">
        <v>100</v>
      </c>
      <c r="D9" s="6">
        <v>1.29</v>
      </c>
      <c r="E9" s="9"/>
      <c r="F9" s="6">
        <f t="shared" si="0"/>
        <v>0</v>
      </c>
    </row>
    <row r="10" spans="2:13" x14ac:dyDescent="0.25">
      <c r="B10" t="s">
        <v>66</v>
      </c>
      <c r="C10" s="12">
        <v>125</v>
      </c>
      <c r="D10" s="6">
        <v>1.29</v>
      </c>
      <c r="E10" s="9"/>
      <c r="F10" s="6">
        <f t="shared" si="0"/>
        <v>0</v>
      </c>
    </row>
    <row r="11" spans="2:13" x14ac:dyDescent="0.25">
      <c r="B11" t="s">
        <v>66</v>
      </c>
      <c r="C11" s="12">
        <v>150</v>
      </c>
      <c r="D11" s="6">
        <v>1.29</v>
      </c>
      <c r="E11" s="9"/>
      <c r="F11" s="6">
        <f t="shared" si="0"/>
        <v>0</v>
      </c>
    </row>
    <row r="12" spans="2:13" x14ac:dyDescent="0.25">
      <c r="B12" t="s">
        <v>66</v>
      </c>
      <c r="C12" s="12">
        <v>180</v>
      </c>
      <c r="D12" s="6">
        <v>1.45</v>
      </c>
      <c r="E12" s="9"/>
      <c r="F12" s="6">
        <f t="shared" si="0"/>
        <v>0</v>
      </c>
    </row>
    <row r="13" spans="2:13" x14ac:dyDescent="0.25">
      <c r="B13" t="s">
        <v>66</v>
      </c>
      <c r="C13" s="12">
        <v>200</v>
      </c>
      <c r="D13" s="6">
        <v>1.45</v>
      </c>
      <c r="E13" s="9"/>
      <c r="F13" s="6">
        <f t="shared" si="0"/>
        <v>0</v>
      </c>
    </row>
    <row r="15" spans="2:13" x14ac:dyDescent="0.25">
      <c r="B15" t="s">
        <v>68</v>
      </c>
      <c r="C15" t="s">
        <v>69</v>
      </c>
      <c r="D15" s="6">
        <v>54</v>
      </c>
      <c r="E15" s="9"/>
      <c r="F15" s="6">
        <f t="shared" ref="F15" si="1">D15*E15</f>
        <v>0</v>
      </c>
    </row>
    <row r="16" spans="2:13" x14ac:dyDescent="0.25">
      <c r="B16" t="s">
        <v>72</v>
      </c>
      <c r="C16" t="s">
        <v>73</v>
      </c>
      <c r="D16" s="6">
        <v>1579.76</v>
      </c>
      <c r="E16" s="9"/>
      <c r="F16" s="6">
        <f t="shared" ref="F16:F23" si="2">D16*E16</f>
        <v>0</v>
      </c>
    </row>
    <row r="17" spans="2:6" x14ac:dyDescent="0.25">
      <c r="B17" t="s">
        <v>74</v>
      </c>
      <c r="C17" t="s">
        <v>76</v>
      </c>
      <c r="D17" s="6">
        <v>1693.4</v>
      </c>
      <c r="E17" s="9"/>
      <c r="F17" s="6">
        <f t="shared" si="2"/>
        <v>0</v>
      </c>
    </row>
    <row r="18" spans="2:6" x14ac:dyDescent="0.25">
      <c r="B18" t="s">
        <v>75</v>
      </c>
      <c r="C18" t="s">
        <v>77</v>
      </c>
      <c r="D18" s="6">
        <v>2209.92</v>
      </c>
      <c r="E18" s="9"/>
      <c r="F18" s="6">
        <f t="shared" si="2"/>
        <v>0</v>
      </c>
    </row>
    <row r="19" spans="2:6" x14ac:dyDescent="0.25">
      <c r="B19" t="s">
        <v>67</v>
      </c>
      <c r="C19" t="s">
        <v>78</v>
      </c>
      <c r="D19" s="6">
        <v>2325.16</v>
      </c>
      <c r="E19" s="9"/>
      <c r="F19" s="6">
        <f t="shared" si="2"/>
        <v>0</v>
      </c>
    </row>
    <row r="20" spans="2:6" x14ac:dyDescent="0.25">
      <c r="B20" t="s">
        <v>70</v>
      </c>
      <c r="C20" t="s">
        <v>71</v>
      </c>
      <c r="D20" s="6">
        <v>767.8</v>
      </c>
      <c r="E20" s="9"/>
      <c r="F20" s="6">
        <f t="shared" si="2"/>
        <v>0</v>
      </c>
    </row>
    <row r="21" spans="2:6" x14ac:dyDescent="0.25">
      <c r="D21" s="6"/>
      <c r="F21" s="6"/>
    </row>
    <row r="22" spans="2:6" x14ac:dyDescent="0.25">
      <c r="B22" t="s">
        <v>263</v>
      </c>
      <c r="C22" t="s">
        <v>262</v>
      </c>
      <c r="D22" s="6">
        <v>87.7</v>
      </c>
      <c r="E22" s="14"/>
      <c r="F22" s="6">
        <f t="shared" si="2"/>
        <v>0</v>
      </c>
    </row>
    <row r="23" spans="2:6" x14ac:dyDescent="0.25">
      <c r="B23" t="s">
        <v>264</v>
      </c>
      <c r="D23" s="6">
        <v>70</v>
      </c>
      <c r="E23" s="14"/>
      <c r="F23" s="6">
        <f t="shared" si="2"/>
        <v>0</v>
      </c>
    </row>
    <row r="24" spans="2:6" x14ac:dyDescent="0.25">
      <c r="B24" t="s">
        <v>264</v>
      </c>
      <c r="D24" s="6">
        <v>70</v>
      </c>
      <c r="E24" s="14"/>
      <c r="F24" s="6">
        <f t="shared" ref="F24:F26" si="3">D24*E24</f>
        <v>0</v>
      </c>
    </row>
    <row r="25" spans="2:6" x14ac:dyDescent="0.25">
      <c r="B25" t="s">
        <v>264</v>
      </c>
      <c r="D25" s="6">
        <v>70</v>
      </c>
      <c r="E25" s="14"/>
      <c r="F25" s="6">
        <f t="shared" si="3"/>
        <v>0</v>
      </c>
    </row>
    <row r="26" spans="2:6" x14ac:dyDescent="0.25">
      <c r="B26" t="s">
        <v>264</v>
      </c>
      <c r="D26" s="6">
        <v>70</v>
      </c>
      <c r="E26" s="14"/>
      <c r="F26" s="6">
        <f t="shared" si="3"/>
        <v>0</v>
      </c>
    </row>
    <row r="27" spans="2:6" x14ac:dyDescent="0.25">
      <c r="D27" s="6"/>
    </row>
    <row r="28" spans="2:6" x14ac:dyDescent="0.25">
      <c r="B28" t="s">
        <v>101</v>
      </c>
      <c r="D28" s="6">
        <v>30</v>
      </c>
      <c r="E28" s="9"/>
      <c r="F28" s="6">
        <f>D28*E28</f>
        <v>0</v>
      </c>
    </row>
    <row r="29" spans="2:6" x14ac:dyDescent="0.25">
      <c r="D29" s="6"/>
    </row>
    <row r="30" spans="2:6" x14ac:dyDescent="0.25">
      <c r="D30" s="6"/>
    </row>
    <row r="31" spans="2:6" x14ac:dyDescent="0.25">
      <c r="D31" s="6"/>
    </row>
    <row r="32" spans="2:6" x14ac:dyDescent="0.25">
      <c r="D32" s="6"/>
    </row>
    <row r="33" spans="4:4" x14ac:dyDescent="0.25">
      <c r="D33" s="6"/>
    </row>
    <row r="34" spans="4:4" x14ac:dyDescent="0.25">
      <c r="D34" s="6"/>
    </row>
    <row r="35" spans="4:4" x14ac:dyDescent="0.25">
      <c r="D35" s="6"/>
    </row>
    <row r="36" spans="4:4" x14ac:dyDescent="0.25">
      <c r="D36" s="6"/>
    </row>
    <row r="37" spans="4:4" x14ac:dyDescent="0.25">
      <c r="D37" s="6"/>
    </row>
    <row r="38" spans="4:4" x14ac:dyDescent="0.25">
      <c r="D38" s="6"/>
    </row>
    <row r="39" spans="4:4" x14ac:dyDescent="0.25">
      <c r="D39" s="6"/>
    </row>
    <row r="40" spans="4:4" x14ac:dyDescent="0.25">
      <c r="D40" s="6"/>
    </row>
  </sheetData>
  <mergeCells count="1">
    <mergeCell ref="J4:L4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7792C-AD4E-493F-8B36-841D964C4CCC}">
  <sheetPr codeName="Sheet11"/>
  <dimension ref="B2:P62"/>
  <sheetViews>
    <sheetView workbookViewId="0">
      <selection activeCell="E8" sqref="E8"/>
    </sheetView>
  </sheetViews>
  <sheetFormatPr defaultRowHeight="15" x14ac:dyDescent="0.25"/>
  <cols>
    <col min="1" max="1" width="3.5703125" customWidth="1"/>
    <col min="2" max="2" width="28.28515625" bestFit="1" customWidth="1"/>
    <col min="3" max="3" width="10.7109375" customWidth="1"/>
    <col min="4" max="4" width="10" style="4" customWidth="1"/>
    <col min="6" max="6" width="10.140625" bestFit="1" customWidth="1"/>
    <col min="12" max="12" width="10.140625" bestFit="1" customWidth="1"/>
  </cols>
  <sheetData>
    <row r="2" spans="2:16" x14ac:dyDescent="0.25">
      <c r="B2" s="1" t="s">
        <v>0</v>
      </c>
    </row>
    <row r="4" spans="2:16" x14ac:dyDescent="0.25">
      <c r="B4" s="1" t="s">
        <v>3</v>
      </c>
      <c r="C4" s="1" t="s">
        <v>11</v>
      </c>
      <c r="D4" s="5" t="s">
        <v>1</v>
      </c>
      <c r="E4" s="1"/>
      <c r="F4" s="1" t="s">
        <v>2</v>
      </c>
      <c r="I4" s="30" t="s">
        <v>55</v>
      </c>
      <c r="J4" s="30"/>
      <c r="K4" s="30"/>
      <c r="L4" s="2">
        <f>SUM(F5:F63)</f>
        <v>0</v>
      </c>
    </row>
    <row r="5" spans="2:16" x14ac:dyDescent="0.25">
      <c r="D5" s="6"/>
    </row>
    <row r="6" spans="2:16" x14ac:dyDescent="0.25">
      <c r="B6" s="3" t="s">
        <v>4</v>
      </c>
      <c r="D6" s="6"/>
    </row>
    <row r="7" spans="2:16" x14ac:dyDescent="0.25">
      <c r="B7" t="s">
        <v>17</v>
      </c>
      <c r="C7" t="s">
        <v>12</v>
      </c>
      <c r="D7" s="6">
        <v>67.56</v>
      </c>
      <c r="E7" s="9"/>
      <c r="F7" s="6">
        <f>D7*E7</f>
        <v>0</v>
      </c>
    </row>
    <row r="8" spans="2:16" x14ac:dyDescent="0.25">
      <c r="B8" t="s">
        <v>18</v>
      </c>
      <c r="C8" t="s">
        <v>12</v>
      </c>
      <c r="D8" s="6">
        <v>76.95</v>
      </c>
      <c r="E8" s="9"/>
      <c r="F8" s="6">
        <f>D8*E8</f>
        <v>0</v>
      </c>
    </row>
    <row r="9" spans="2:16" x14ac:dyDescent="0.25">
      <c r="D9" s="6"/>
    </row>
    <row r="10" spans="2:16" x14ac:dyDescent="0.25">
      <c r="B10" s="3" t="s">
        <v>6</v>
      </c>
      <c r="D10" s="6"/>
    </row>
    <row r="11" spans="2:16" x14ac:dyDescent="0.25">
      <c r="B11" t="s">
        <v>23</v>
      </c>
      <c r="C11" t="s">
        <v>12</v>
      </c>
      <c r="D11" s="6">
        <v>118.88</v>
      </c>
      <c r="E11" s="9"/>
      <c r="F11" s="6">
        <f>D11*E11</f>
        <v>0</v>
      </c>
    </row>
    <row r="12" spans="2:16" x14ac:dyDescent="0.25">
      <c r="B12" t="s">
        <v>24</v>
      </c>
      <c r="C12" t="s">
        <v>12</v>
      </c>
      <c r="D12" s="6">
        <v>135.86000000000001</v>
      </c>
      <c r="E12" s="9"/>
      <c r="F12" s="6">
        <f>D12*E12</f>
        <v>0</v>
      </c>
    </row>
    <row r="13" spans="2:16" x14ac:dyDescent="0.25">
      <c r="D13" s="6">
        <v>154</v>
      </c>
      <c r="E13" s="9"/>
      <c r="F13" s="6">
        <f>D13*E13</f>
        <v>0</v>
      </c>
    </row>
    <row r="14" spans="2:16" x14ac:dyDescent="0.25">
      <c r="B14" s="3" t="s">
        <v>10</v>
      </c>
      <c r="D14" s="6"/>
      <c r="P14" s="1" t="s">
        <v>0</v>
      </c>
    </row>
    <row r="15" spans="2:16" x14ac:dyDescent="0.25">
      <c r="B15" t="s">
        <v>24</v>
      </c>
      <c r="C15" t="s">
        <v>12</v>
      </c>
      <c r="D15" s="6">
        <v>173.27</v>
      </c>
      <c r="E15" s="9"/>
      <c r="F15" s="6">
        <f>D15*E15</f>
        <v>0</v>
      </c>
    </row>
    <row r="16" spans="2:16" x14ac:dyDescent="0.25">
      <c r="B16" t="s">
        <v>159</v>
      </c>
      <c r="C16" t="s">
        <v>12</v>
      </c>
      <c r="D16" s="6">
        <v>173.27</v>
      </c>
      <c r="E16" s="9"/>
      <c r="F16" s="6">
        <f>D16*E16</f>
        <v>0</v>
      </c>
      <c r="P16" s="1" t="s">
        <v>3</v>
      </c>
    </row>
    <row r="17" spans="2:16" x14ac:dyDescent="0.25">
      <c r="B17" t="s">
        <v>159</v>
      </c>
      <c r="C17" t="s">
        <v>161</v>
      </c>
      <c r="D17" s="6">
        <v>224.89</v>
      </c>
      <c r="E17" s="9"/>
      <c r="F17" s="6">
        <f>D17*E17</f>
        <v>0</v>
      </c>
    </row>
    <row r="18" spans="2:16" x14ac:dyDescent="0.25">
      <c r="B18" t="s">
        <v>270</v>
      </c>
      <c r="C18" t="s">
        <v>12</v>
      </c>
      <c r="D18" s="6">
        <v>173.27</v>
      </c>
      <c r="E18" s="9"/>
      <c r="F18" s="6">
        <f>D18*E18</f>
        <v>0</v>
      </c>
      <c r="P18" s="3" t="s">
        <v>4</v>
      </c>
    </row>
    <row r="19" spans="2:16" x14ac:dyDescent="0.25">
      <c r="B19" t="s">
        <v>271</v>
      </c>
      <c r="C19" t="s">
        <v>12</v>
      </c>
      <c r="D19" s="6">
        <v>190.6</v>
      </c>
      <c r="E19" s="9"/>
      <c r="F19" s="6">
        <f>D19*E19</f>
        <v>0</v>
      </c>
      <c r="P19" t="s">
        <v>17</v>
      </c>
    </row>
    <row r="20" spans="2:16" x14ac:dyDescent="0.25">
      <c r="B20" t="s">
        <v>272</v>
      </c>
      <c r="C20" t="s">
        <v>12</v>
      </c>
      <c r="D20" s="6">
        <v>276.35000000000002</v>
      </c>
      <c r="E20" s="9"/>
      <c r="F20" s="6">
        <f t="shared" ref="F20:F25" si="0">D20*E20</f>
        <v>0</v>
      </c>
      <c r="P20" t="s">
        <v>18</v>
      </c>
    </row>
    <row r="21" spans="2:16" x14ac:dyDescent="0.25">
      <c r="B21" t="s">
        <v>257</v>
      </c>
      <c r="C21" t="s">
        <v>12</v>
      </c>
      <c r="D21" s="6">
        <v>173.27</v>
      </c>
      <c r="E21" s="9"/>
      <c r="F21" s="6">
        <f>D21*E21</f>
        <v>0</v>
      </c>
    </row>
    <row r="22" spans="2:16" x14ac:dyDescent="0.25">
      <c r="B22" t="s">
        <v>257</v>
      </c>
      <c r="C22" t="s">
        <v>161</v>
      </c>
      <c r="D22" s="6">
        <v>224.89</v>
      </c>
      <c r="E22" s="9"/>
      <c r="F22" s="6">
        <f>D22*E22</f>
        <v>0</v>
      </c>
    </row>
    <row r="23" spans="2:16" x14ac:dyDescent="0.25">
      <c r="D23" s="6"/>
    </row>
    <row r="24" spans="2:16" x14ac:dyDescent="0.25">
      <c r="B24" s="3" t="s">
        <v>7</v>
      </c>
      <c r="D24" s="6"/>
    </row>
    <row r="25" spans="2:16" x14ac:dyDescent="0.25">
      <c r="B25" t="s">
        <v>188</v>
      </c>
      <c r="C25" t="s">
        <v>12</v>
      </c>
      <c r="D25" s="6">
        <v>252.92</v>
      </c>
      <c r="E25" s="9"/>
      <c r="F25" s="6">
        <f t="shared" si="0"/>
        <v>0</v>
      </c>
    </row>
    <row r="26" spans="2:16" x14ac:dyDescent="0.25">
      <c r="D26" s="6"/>
    </row>
    <row r="27" spans="2:16" x14ac:dyDescent="0.25">
      <c r="D27" s="6"/>
    </row>
    <row r="28" spans="2:16" x14ac:dyDescent="0.25">
      <c r="D28" s="6"/>
    </row>
    <row r="29" spans="2:16" x14ac:dyDescent="0.25">
      <c r="B29" s="3" t="s">
        <v>8</v>
      </c>
      <c r="D29" s="6"/>
    </row>
    <row r="30" spans="2:16" x14ac:dyDescent="0.25">
      <c r="B30" t="s">
        <v>19</v>
      </c>
      <c r="C30" t="s">
        <v>13</v>
      </c>
      <c r="D30" s="6">
        <v>259.66000000000003</v>
      </c>
      <c r="E30" s="9"/>
      <c r="F30" s="6">
        <f>D30*E30</f>
        <v>0</v>
      </c>
    </row>
    <row r="31" spans="2:16" x14ac:dyDescent="0.25">
      <c r="B31" t="s">
        <v>169</v>
      </c>
      <c r="C31" t="s">
        <v>13</v>
      </c>
      <c r="D31" s="6">
        <v>302.89</v>
      </c>
      <c r="E31" s="9"/>
      <c r="F31" s="6">
        <f>D31*E31</f>
        <v>0</v>
      </c>
    </row>
    <row r="32" spans="2:16" x14ac:dyDescent="0.25">
      <c r="B32" t="s">
        <v>278</v>
      </c>
      <c r="C32" t="s">
        <v>279</v>
      </c>
      <c r="D32" s="6">
        <v>169.29</v>
      </c>
      <c r="E32" s="9"/>
      <c r="F32" s="6">
        <f>D32*E32</f>
        <v>0</v>
      </c>
    </row>
    <row r="33" spans="2:6" x14ac:dyDescent="0.25">
      <c r="D33" s="6"/>
    </row>
    <row r="34" spans="2:6" x14ac:dyDescent="0.25">
      <c r="B34" s="3" t="s">
        <v>9</v>
      </c>
      <c r="D34" s="6"/>
    </row>
    <row r="35" spans="2:6" x14ac:dyDescent="0.25">
      <c r="B35" t="s">
        <v>16</v>
      </c>
      <c r="C35" s="2" t="s">
        <v>14</v>
      </c>
      <c r="D35" s="6">
        <v>92.55</v>
      </c>
      <c r="E35" s="9"/>
      <c r="F35" s="6">
        <f t="shared" ref="F35:F39" si="1">D35*E35</f>
        <v>0</v>
      </c>
    </row>
    <row r="36" spans="2:6" x14ac:dyDescent="0.25">
      <c r="B36" t="s">
        <v>16</v>
      </c>
      <c r="C36" s="2" t="s">
        <v>15</v>
      </c>
      <c r="D36" s="6">
        <v>34.51</v>
      </c>
      <c r="E36" s="9"/>
      <c r="F36" s="6">
        <f t="shared" si="1"/>
        <v>0</v>
      </c>
    </row>
    <row r="37" spans="2:6" x14ac:dyDescent="0.25">
      <c r="B37" t="s">
        <v>20</v>
      </c>
      <c r="C37" t="s">
        <v>21</v>
      </c>
      <c r="D37" s="6">
        <v>59.97</v>
      </c>
      <c r="E37" s="9"/>
      <c r="F37" s="6">
        <f t="shared" si="1"/>
        <v>0</v>
      </c>
    </row>
    <row r="38" spans="2:6" x14ac:dyDescent="0.25">
      <c r="B38" t="s">
        <v>25</v>
      </c>
      <c r="C38" t="s">
        <v>14</v>
      </c>
      <c r="D38" s="6">
        <v>118.01</v>
      </c>
      <c r="E38" s="9"/>
      <c r="F38" s="6">
        <f t="shared" si="1"/>
        <v>0</v>
      </c>
    </row>
    <row r="39" spans="2:6" x14ac:dyDescent="0.25">
      <c r="B39" t="s">
        <v>25</v>
      </c>
      <c r="C39" t="s">
        <v>15</v>
      </c>
      <c r="D39" s="6">
        <v>41.41</v>
      </c>
      <c r="E39" s="9"/>
      <c r="F39" s="6">
        <f t="shared" si="1"/>
        <v>0</v>
      </c>
    </row>
    <row r="40" spans="2:6" x14ac:dyDescent="0.25">
      <c r="B40" t="s">
        <v>160</v>
      </c>
      <c r="C40" t="s">
        <v>14</v>
      </c>
      <c r="D40" s="6">
        <v>118.01</v>
      </c>
      <c r="E40" s="9"/>
      <c r="F40" s="6">
        <f t="shared" ref="F40" si="2">D40*E40</f>
        <v>0</v>
      </c>
    </row>
    <row r="41" spans="2:6" x14ac:dyDescent="0.25">
      <c r="B41" t="s">
        <v>162</v>
      </c>
      <c r="C41" t="s">
        <v>14</v>
      </c>
      <c r="D41" s="6">
        <v>207.59</v>
      </c>
      <c r="E41" s="9"/>
      <c r="F41" s="6">
        <f t="shared" ref="F41" si="3">D41*E41</f>
        <v>0</v>
      </c>
    </row>
    <row r="42" spans="2:6" x14ac:dyDescent="0.25">
      <c r="B42" t="s">
        <v>179</v>
      </c>
      <c r="C42" t="s">
        <v>14</v>
      </c>
      <c r="D42" s="6">
        <v>188.86</v>
      </c>
      <c r="E42" s="9"/>
      <c r="F42" s="6">
        <f t="shared" ref="F42" si="4">D42*E42</f>
        <v>0</v>
      </c>
    </row>
    <row r="43" spans="2:6" x14ac:dyDescent="0.25">
      <c r="B43" t="s">
        <v>189</v>
      </c>
      <c r="C43" t="s">
        <v>14</v>
      </c>
      <c r="D43" s="6">
        <v>257.60000000000002</v>
      </c>
      <c r="E43" s="9"/>
      <c r="F43" s="6">
        <f t="shared" ref="F43" si="5">D43*E43</f>
        <v>0</v>
      </c>
    </row>
    <row r="45" spans="2:6" x14ac:dyDescent="0.25">
      <c r="B45" s="3" t="s">
        <v>102</v>
      </c>
    </row>
    <row r="46" spans="2:6" x14ac:dyDescent="0.25">
      <c r="B46" t="s">
        <v>103</v>
      </c>
      <c r="C46" t="s">
        <v>12</v>
      </c>
      <c r="D46" s="6">
        <v>178.75</v>
      </c>
      <c r="E46" s="9"/>
      <c r="F46" s="6">
        <f>D46*E46</f>
        <v>0</v>
      </c>
    </row>
    <row r="47" spans="2:6" x14ac:dyDescent="0.25">
      <c r="B47" t="s">
        <v>167</v>
      </c>
      <c r="C47" t="s">
        <v>12</v>
      </c>
      <c r="D47" s="6">
        <v>48.1</v>
      </c>
      <c r="E47" s="9"/>
      <c r="F47" s="6">
        <f>D47*E47</f>
        <v>0</v>
      </c>
    </row>
    <row r="48" spans="2:6" x14ac:dyDescent="0.25">
      <c r="B48" t="s">
        <v>168</v>
      </c>
      <c r="C48" t="s">
        <v>12</v>
      </c>
      <c r="D48" s="6">
        <v>72.2</v>
      </c>
      <c r="E48" s="9"/>
      <c r="F48" s="6">
        <f>D48*E48</f>
        <v>0</v>
      </c>
    </row>
    <row r="50" spans="2:6" x14ac:dyDescent="0.25">
      <c r="B50" s="3" t="s">
        <v>248</v>
      </c>
    </row>
    <row r="51" spans="2:6" x14ac:dyDescent="0.25">
      <c r="B51" t="s">
        <v>249</v>
      </c>
      <c r="C51" t="s">
        <v>250</v>
      </c>
      <c r="D51" s="6">
        <v>46.72</v>
      </c>
      <c r="E51" s="9"/>
      <c r="F51" s="6">
        <f>D51*E51</f>
        <v>0</v>
      </c>
    </row>
    <row r="52" spans="2:6" x14ac:dyDescent="0.25">
      <c r="B52" t="s">
        <v>249</v>
      </c>
      <c r="C52" t="s">
        <v>251</v>
      </c>
      <c r="D52" s="6">
        <v>31.19</v>
      </c>
      <c r="E52" s="9"/>
      <c r="F52" s="6">
        <f t="shared" ref="F52:F54" si="6">D52*E52</f>
        <v>0</v>
      </c>
    </row>
    <row r="53" spans="2:6" x14ac:dyDescent="0.25">
      <c r="B53" t="s">
        <v>249</v>
      </c>
      <c r="C53" t="s">
        <v>252</v>
      </c>
      <c r="D53" s="6">
        <v>31.19</v>
      </c>
      <c r="E53" s="9"/>
      <c r="F53" s="6">
        <f t="shared" si="6"/>
        <v>0</v>
      </c>
    </row>
    <row r="54" spans="2:6" x14ac:dyDescent="0.25">
      <c r="B54" t="s">
        <v>249</v>
      </c>
      <c r="C54" t="s">
        <v>253</v>
      </c>
      <c r="D54" s="6">
        <v>24.61</v>
      </c>
      <c r="E54" s="14"/>
      <c r="F54" s="6">
        <f t="shared" si="6"/>
        <v>0</v>
      </c>
    </row>
    <row r="55" spans="2:6" x14ac:dyDescent="0.25">
      <c r="B55" t="s">
        <v>258</v>
      </c>
      <c r="C55" t="s">
        <v>259</v>
      </c>
      <c r="D55" s="6">
        <v>90.32</v>
      </c>
      <c r="E55" s="14"/>
      <c r="F55" s="6">
        <f t="shared" ref="F55" si="7">D55*E55</f>
        <v>0</v>
      </c>
    </row>
    <row r="57" spans="2:6" x14ac:dyDescent="0.25">
      <c r="B57" s="3" t="s">
        <v>175</v>
      </c>
    </row>
    <row r="58" spans="2:6" x14ac:dyDescent="0.25">
      <c r="B58" t="s">
        <v>176</v>
      </c>
      <c r="C58" t="s">
        <v>12</v>
      </c>
      <c r="D58" s="6">
        <v>278.20999999999998</v>
      </c>
      <c r="E58" s="9"/>
      <c r="F58" s="6">
        <f>D58*E58</f>
        <v>0</v>
      </c>
    </row>
    <row r="59" spans="2:6" x14ac:dyDescent="0.25">
      <c r="B59" t="s">
        <v>176</v>
      </c>
      <c r="C59" t="s">
        <v>177</v>
      </c>
      <c r="D59" s="6">
        <v>312.98</v>
      </c>
      <c r="E59" s="9"/>
      <c r="F59" s="6">
        <f t="shared" ref="F59:F60" si="8">D59*E59</f>
        <v>0</v>
      </c>
    </row>
    <row r="60" spans="2:6" x14ac:dyDescent="0.25">
      <c r="B60" t="s">
        <v>176</v>
      </c>
      <c r="C60" t="s">
        <v>161</v>
      </c>
      <c r="D60" s="6">
        <v>359.35</v>
      </c>
      <c r="E60" s="9"/>
      <c r="F60" s="6">
        <f t="shared" si="8"/>
        <v>0</v>
      </c>
    </row>
    <row r="62" spans="2:6" x14ac:dyDescent="0.25">
      <c r="B62" t="s">
        <v>101</v>
      </c>
      <c r="D62" s="6">
        <v>47</v>
      </c>
      <c r="E62" s="9"/>
      <c r="F62" s="6">
        <f>D62*E62</f>
        <v>0</v>
      </c>
    </row>
  </sheetData>
  <mergeCells count="1">
    <mergeCell ref="I4:K4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82FA1-0C69-4C96-BFFC-52C0889169C5}">
  <sheetPr codeName="Sheet12"/>
  <dimension ref="B2:N57"/>
  <sheetViews>
    <sheetView topLeftCell="A40" zoomScaleNormal="100" workbookViewId="0">
      <selection activeCell="A41" sqref="A40:XFD41"/>
    </sheetView>
  </sheetViews>
  <sheetFormatPr defaultRowHeight="15" x14ac:dyDescent="0.25"/>
  <cols>
    <col min="1" max="1" width="3.5703125" customWidth="1"/>
    <col min="2" max="2" width="42.5703125" bestFit="1" customWidth="1"/>
    <col min="3" max="4" width="10" style="4" customWidth="1"/>
    <col min="5" max="5" width="9.85546875" style="4" customWidth="1"/>
    <col min="6" max="7" width="9.140625" style="4"/>
    <col min="14" max="14" width="10.140625" bestFit="1" customWidth="1"/>
  </cols>
  <sheetData>
    <row r="2" spans="2:14" x14ac:dyDescent="0.25">
      <c r="B2" s="1" t="s">
        <v>26</v>
      </c>
    </row>
    <row r="4" spans="2:14" x14ac:dyDescent="0.25">
      <c r="B4" s="1" t="s">
        <v>27</v>
      </c>
      <c r="C4" s="5" t="s">
        <v>1</v>
      </c>
      <c r="E4" s="5" t="s">
        <v>28</v>
      </c>
      <c r="F4" s="5"/>
      <c r="G4" s="5" t="s">
        <v>2</v>
      </c>
      <c r="K4" s="30" t="s">
        <v>55</v>
      </c>
      <c r="L4" s="30"/>
      <c r="M4" s="30"/>
      <c r="N4" s="6">
        <f>SUM(G5:G57)</f>
        <v>0</v>
      </c>
    </row>
    <row r="5" spans="2:14" x14ac:dyDescent="0.25">
      <c r="C5" s="6"/>
      <c r="E5" s="8"/>
    </row>
    <row r="6" spans="2:14" x14ac:dyDescent="0.25">
      <c r="B6" t="s">
        <v>29</v>
      </c>
      <c r="C6" s="7">
        <v>50</v>
      </c>
      <c r="E6" s="9"/>
      <c r="G6" s="6">
        <f>C6*E6</f>
        <v>0</v>
      </c>
    </row>
    <row r="7" spans="2:14" x14ac:dyDescent="0.25">
      <c r="C7" s="6"/>
      <c r="E7"/>
    </row>
    <row r="8" spans="2:14" x14ac:dyDescent="0.25">
      <c r="B8" t="s">
        <v>170</v>
      </c>
      <c r="C8" s="7">
        <v>50</v>
      </c>
      <c r="E8" s="9"/>
      <c r="G8" s="6">
        <f>C8*E8</f>
        <v>0</v>
      </c>
    </row>
    <row r="9" spans="2:14" x14ac:dyDescent="0.25">
      <c r="C9" s="6"/>
      <c r="E9"/>
    </row>
    <row r="10" spans="2:14" x14ac:dyDescent="0.25">
      <c r="B10" t="s">
        <v>151</v>
      </c>
      <c r="C10" s="7">
        <v>50</v>
      </c>
      <c r="E10" s="9"/>
      <c r="G10" s="6">
        <f>C10*E10</f>
        <v>0</v>
      </c>
    </row>
    <row r="11" spans="2:14" x14ac:dyDescent="0.25">
      <c r="C11" s="6"/>
      <c r="E11"/>
    </row>
    <row r="12" spans="2:14" x14ac:dyDescent="0.25">
      <c r="B12" t="s">
        <v>30</v>
      </c>
      <c r="C12" s="7">
        <v>50</v>
      </c>
      <c r="E12" s="9"/>
      <c r="G12" s="6">
        <f>C12*E12</f>
        <v>0</v>
      </c>
    </row>
    <row r="13" spans="2:14" x14ac:dyDescent="0.25">
      <c r="C13" s="6"/>
      <c r="E13"/>
    </row>
    <row r="14" spans="2:14" x14ac:dyDescent="0.25">
      <c r="B14" t="s">
        <v>31</v>
      </c>
      <c r="C14" s="7">
        <v>50</v>
      </c>
      <c r="E14" s="9"/>
      <c r="G14" s="6">
        <f t="shared" ref="G14:G15" si="0">C14*E14</f>
        <v>0</v>
      </c>
    </row>
    <row r="15" spans="2:14" x14ac:dyDescent="0.25">
      <c r="B15" t="s">
        <v>32</v>
      </c>
      <c r="C15" s="7">
        <v>50</v>
      </c>
      <c r="E15" s="9"/>
      <c r="G15" s="6">
        <f t="shared" si="0"/>
        <v>0</v>
      </c>
    </row>
    <row r="16" spans="2:14" x14ac:dyDescent="0.25">
      <c r="C16" s="6"/>
      <c r="E16"/>
    </row>
    <row r="17" spans="2:7" x14ac:dyDescent="0.25">
      <c r="B17" t="s">
        <v>33</v>
      </c>
      <c r="C17" s="7">
        <v>50</v>
      </c>
      <c r="E17" s="9"/>
      <c r="G17" s="6">
        <f>C17*E17</f>
        <v>0</v>
      </c>
    </row>
    <row r="18" spans="2:7" x14ac:dyDescent="0.25">
      <c r="C18" s="6"/>
      <c r="E18"/>
    </row>
    <row r="19" spans="2:7" x14ac:dyDescent="0.25">
      <c r="B19" t="s">
        <v>34</v>
      </c>
      <c r="C19" s="7">
        <v>50</v>
      </c>
      <c r="E19" s="9"/>
      <c r="G19" s="6">
        <f t="shared" ref="G19:G20" si="1">C19*E19</f>
        <v>0</v>
      </c>
    </row>
    <row r="20" spans="2:7" x14ac:dyDescent="0.25">
      <c r="B20" t="s">
        <v>35</v>
      </c>
      <c r="C20" s="7">
        <v>50</v>
      </c>
      <c r="E20" s="9"/>
      <c r="G20" s="6">
        <f t="shared" si="1"/>
        <v>0</v>
      </c>
    </row>
    <row r="21" spans="2:7" x14ac:dyDescent="0.25">
      <c r="C21" s="6"/>
    </row>
    <row r="22" spans="2:7" x14ac:dyDescent="0.25">
      <c r="B22" t="s">
        <v>38</v>
      </c>
      <c r="C22" s="7">
        <v>50</v>
      </c>
      <c r="D22" s="32"/>
      <c r="E22" s="35">
        <f>D22*1</f>
        <v>0</v>
      </c>
      <c r="G22" s="6">
        <f t="shared" ref="G22:G25" si="2">C22*E22</f>
        <v>0</v>
      </c>
    </row>
    <row r="23" spans="2:7" x14ac:dyDescent="0.25">
      <c r="B23" t="s">
        <v>37</v>
      </c>
      <c r="C23" s="7">
        <v>50</v>
      </c>
      <c r="D23" s="32"/>
      <c r="E23" s="33">
        <f>D23*2</f>
        <v>0</v>
      </c>
      <c r="G23" s="6">
        <f>C23*E23</f>
        <v>0</v>
      </c>
    </row>
    <row r="24" spans="2:7" x14ac:dyDescent="0.25">
      <c r="B24" t="s">
        <v>36</v>
      </c>
      <c r="C24" s="7">
        <v>50</v>
      </c>
      <c r="D24" s="32"/>
      <c r="E24" s="33">
        <f t="shared" ref="E24" si="3">D24*1</f>
        <v>0</v>
      </c>
      <c r="G24" s="6">
        <f t="shared" si="2"/>
        <v>0</v>
      </c>
    </row>
    <row r="25" spans="2:7" x14ac:dyDescent="0.25">
      <c r="B25" t="s">
        <v>46</v>
      </c>
      <c r="C25" s="7">
        <v>50</v>
      </c>
      <c r="D25" s="32"/>
      <c r="E25" s="33">
        <f>D25*4</f>
        <v>0</v>
      </c>
      <c r="G25" s="6">
        <f t="shared" si="2"/>
        <v>0</v>
      </c>
    </row>
    <row r="26" spans="2:7" x14ac:dyDescent="0.25">
      <c r="B26" t="s">
        <v>53</v>
      </c>
      <c r="C26" s="7">
        <v>50</v>
      </c>
      <c r="D26" s="32"/>
      <c r="E26" s="33">
        <f>D26*2</f>
        <v>0</v>
      </c>
      <c r="G26" s="6">
        <f t="shared" ref="G26" si="4">C26*E26</f>
        <v>0</v>
      </c>
    </row>
    <row r="27" spans="2:7" x14ac:dyDescent="0.25">
      <c r="C27" s="6"/>
      <c r="D27"/>
      <c r="E27" s="34"/>
    </row>
    <row r="28" spans="2:7" x14ac:dyDescent="0.25">
      <c r="B28" t="s">
        <v>39</v>
      </c>
      <c r="C28" s="7">
        <v>50</v>
      </c>
      <c r="D28" s="32"/>
      <c r="E28" s="33">
        <f>D28*1.5</f>
        <v>0</v>
      </c>
      <c r="G28" s="6">
        <f t="shared" ref="G28:G32" si="5">C28*E28</f>
        <v>0</v>
      </c>
    </row>
    <row r="29" spans="2:7" x14ac:dyDescent="0.25">
      <c r="B29" t="s">
        <v>40</v>
      </c>
      <c r="C29" s="7">
        <v>50</v>
      </c>
      <c r="D29" s="32"/>
      <c r="E29" s="33">
        <f>D29*3</f>
        <v>0</v>
      </c>
      <c r="G29" s="6">
        <f t="shared" si="5"/>
        <v>0</v>
      </c>
    </row>
    <row r="30" spans="2:7" x14ac:dyDescent="0.25">
      <c r="B30" t="s">
        <v>41</v>
      </c>
      <c r="C30" s="7">
        <v>50</v>
      </c>
      <c r="D30" s="32"/>
      <c r="E30" s="33">
        <f>D30*4</f>
        <v>0</v>
      </c>
      <c r="G30" s="6">
        <f t="shared" si="5"/>
        <v>0</v>
      </c>
    </row>
    <row r="31" spans="2:7" x14ac:dyDescent="0.25">
      <c r="B31" t="s">
        <v>42</v>
      </c>
      <c r="C31" s="7">
        <v>50</v>
      </c>
      <c r="D31" s="32"/>
      <c r="E31" s="33">
        <f>D31*2</f>
        <v>0</v>
      </c>
      <c r="G31" s="6">
        <f t="shared" si="5"/>
        <v>0</v>
      </c>
    </row>
    <row r="32" spans="2:7" x14ac:dyDescent="0.25">
      <c r="B32" t="s">
        <v>45</v>
      </c>
      <c r="C32" s="7">
        <v>50</v>
      </c>
      <c r="D32" s="32"/>
      <c r="E32" s="33">
        <f>D32*6</f>
        <v>0</v>
      </c>
      <c r="G32" s="6">
        <f t="shared" si="5"/>
        <v>0</v>
      </c>
    </row>
    <row r="33" spans="2:7" x14ac:dyDescent="0.25">
      <c r="C33" s="6"/>
      <c r="D33"/>
      <c r="E33" s="34"/>
    </row>
    <row r="34" spans="2:7" x14ac:dyDescent="0.25">
      <c r="B34" t="s">
        <v>47</v>
      </c>
      <c r="C34" s="7">
        <v>50</v>
      </c>
      <c r="D34" s="32"/>
      <c r="E34" s="33">
        <f t="shared" ref="E34:E35" si="6">D34*1</f>
        <v>0</v>
      </c>
      <c r="G34" s="6">
        <f t="shared" ref="G34:G36" si="7">C34*E34</f>
        <v>0</v>
      </c>
    </row>
    <row r="35" spans="2:7" x14ac:dyDescent="0.25">
      <c r="B35" t="s">
        <v>48</v>
      </c>
      <c r="C35" s="7">
        <v>50</v>
      </c>
      <c r="D35" s="32"/>
      <c r="E35" s="33">
        <f t="shared" si="6"/>
        <v>0</v>
      </c>
      <c r="G35" s="6">
        <f t="shared" si="7"/>
        <v>0</v>
      </c>
    </row>
    <row r="36" spans="2:7" x14ac:dyDescent="0.25">
      <c r="B36" t="s">
        <v>191</v>
      </c>
      <c r="C36" s="7">
        <v>50</v>
      </c>
      <c r="D36" s="32"/>
      <c r="E36" s="33">
        <f>D36*2</f>
        <v>0</v>
      </c>
      <c r="G36" s="6">
        <f t="shared" si="7"/>
        <v>0</v>
      </c>
    </row>
    <row r="37" spans="2:7" x14ac:dyDescent="0.25">
      <c r="B37" t="s">
        <v>190</v>
      </c>
      <c r="C37" s="7">
        <v>50</v>
      </c>
      <c r="D37" s="32"/>
      <c r="E37" s="33">
        <f>D37*4</f>
        <v>0</v>
      </c>
      <c r="G37" s="6">
        <f t="shared" ref="G37" si="8">C37*E37</f>
        <v>0</v>
      </c>
    </row>
    <row r="38" spans="2:7" x14ac:dyDescent="0.25">
      <c r="C38" s="6"/>
    </row>
    <row r="39" spans="2:7" x14ac:dyDescent="0.25">
      <c r="B39" t="s">
        <v>150</v>
      </c>
      <c r="C39" s="7">
        <v>50</v>
      </c>
      <c r="E39" s="9"/>
      <c r="G39" s="6">
        <f t="shared" ref="G39" si="9">C39*E39</f>
        <v>0</v>
      </c>
    </row>
    <row r="40" spans="2:7" x14ac:dyDescent="0.25">
      <c r="E40"/>
    </row>
    <row r="41" spans="2:7" x14ac:dyDescent="0.25">
      <c r="B41" t="s">
        <v>187</v>
      </c>
      <c r="C41" s="7">
        <v>50</v>
      </c>
      <c r="E41" s="9"/>
      <c r="G41" s="6">
        <f t="shared" ref="G41" si="10">C41*E41</f>
        <v>0</v>
      </c>
    </row>
    <row r="42" spans="2:7" x14ac:dyDescent="0.25">
      <c r="E42"/>
    </row>
    <row r="43" spans="2:7" x14ac:dyDescent="0.25">
      <c r="B43" t="s">
        <v>143</v>
      </c>
      <c r="E43"/>
    </row>
    <row r="44" spans="2:7" x14ac:dyDescent="0.25">
      <c r="B44" s="28" t="s">
        <v>174</v>
      </c>
      <c r="C44" s="7">
        <v>50</v>
      </c>
      <c r="E44" s="9"/>
      <c r="G44" s="6">
        <f t="shared" ref="G44:G50" si="11">C44*E44</f>
        <v>0</v>
      </c>
    </row>
    <row r="45" spans="2:7" x14ac:dyDescent="0.25">
      <c r="B45" s="28" t="s">
        <v>172</v>
      </c>
      <c r="C45" s="7">
        <v>50</v>
      </c>
      <c r="E45" s="9"/>
      <c r="G45" s="6">
        <f t="shared" si="11"/>
        <v>0</v>
      </c>
    </row>
    <row r="46" spans="2:7" x14ac:dyDescent="0.25">
      <c r="B46" s="28" t="s">
        <v>173</v>
      </c>
      <c r="C46" s="7">
        <v>50</v>
      </c>
      <c r="E46" s="9"/>
      <c r="G46" s="6">
        <f t="shared" si="11"/>
        <v>0</v>
      </c>
    </row>
    <row r="47" spans="2:7" x14ac:dyDescent="0.25">
      <c r="B47" s="28" t="s">
        <v>44</v>
      </c>
      <c r="C47" s="7">
        <v>50</v>
      </c>
      <c r="E47" s="9"/>
      <c r="G47" s="6">
        <f t="shared" si="11"/>
        <v>0</v>
      </c>
    </row>
    <row r="48" spans="2:7" x14ac:dyDescent="0.25">
      <c r="B48" s="28" t="s">
        <v>49</v>
      </c>
      <c r="C48" s="7">
        <v>50</v>
      </c>
      <c r="E48" s="9"/>
      <c r="G48" s="6">
        <f t="shared" si="11"/>
        <v>0</v>
      </c>
    </row>
    <row r="49" spans="2:7" x14ac:dyDescent="0.25">
      <c r="B49" s="28" t="s">
        <v>54</v>
      </c>
      <c r="C49" s="7">
        <v>50</v>
      </c>
      <c r="E49" s="9"/>
      <c r="G49" s="6">
        <f t="shared" si="11"/>
        <v>0</v>
      </c>
    </row>
    <row r="50" spans="2:7" x14ac:dyDescent="0.25">
      <c r="B50" s="28" t="s">
        <v>43</v>
      </c>
      <c r="C50" s="7">
        <v>50</v>
      </c>
      <c r="E50" s="9"/>
      <c r="G50" s="6">
        <f t="shared" si="11"/>
        <v>0</v>
      </c>
    </row>
    <row r="51" spans="2:7" x14ac:dyDescent="0.25">
      <c r="E51"/>
    </row>
    <row r="52" spans="2:7" x14ac:dyDescent="0.25">
      <c r="B52" t="s">
        <v>245</v>
      </c>
      <c r="C52" s="7">
        <v>50</v>
      </c>
      <c r="E52" s="9"/>
      <c r="G52" s="6">
        <f t="shared" ref="G52" si="12">C52*E52</f>
        <v>0</v>
      </c>
    </row>
    <row r="53" spans="2:7" x14ac:dyDescent="0.25">
      <c r="E53"/>
    </row>
    <row r="54" spans="2:7" x14ac:dyDescent="0.25">
      <c r="B54" t="s">
        <v>50</v>
      </c>
      <c r="C54" s="7">
        <v>650</v>
      </c>
      <c r="D54" s="4" t="s">
        <v>293</v>
      </c>
      <c r="E54" s="9"/>
      <c r="G54" s="6">
        <f t="shared" ref="G54:G55" si="13">C54*E54</f>
        <v>0</v>
      </c>
    </row>
    <row r="55" spans="2:7" x14ac:dyDescent="0.25">
      <c r="B55" t="s">
        <v>51</v>
      </c>
      <c r="C55" s="7">
        <v>500</v>
      </c>
      <c r="D55" s="4" t="s">
        <v>294</v>
      </c>
      <c r="E55" s="9"/>
      <c r="G55" s="6">
        <f t="shared" si="13"/>
        <v>0</v>
      </c>
    </row>
    <row r="56" spans="2:7" x14ac:dyDescent="0.25">
      <c r="E56"/>
    </row>
    <row r="57" spans="2:7" x14ac:dyDescent="0.25">
      <c r="B57" t="s">
        <v>52</v>
      </c>
      <c r="C57" s="6">
        <v>750</v>
      </c>
      <c r="E57" s="9"/>
      <c r="G57" s="6">
        <f>C57*E57</f>
        <v>0</v>
      </c>
    </row>
  </sheetData>
  <mergeCells count="1">
    <mergeCell ref="K4:M4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ED714-10D7-400A-A005-B7AFDE200CAC}">
  <sheetPr codeName="Sheet13"/>
  <dimension ref="B4:T60"/>
  <sheetViews>
    <sheetView tabSelected="1" workbookViewId="0">
      <selection activeCell="C6" sqref="C6"/>
    </sheetView>
  </sheetViews>
  <sheetFormatPr defaultRowHeight="15" x14ac:dyDescent="0.25"/>
  <cols>
    <col min="1" max="1" width="3.5703125" customWidth="1"/>
    <col min="2" max="2" width="42.7109375" bestFit="1" customWidth="1"/>
    <col min="3" max="3" width="11.28515625" style="4" customWidth="1"/>
    <col min="4" max="4" width="9" style="4" bestFit="1" customWidth="1"/>
    <col min="5" max="5" width="10" style="4" customWidth="1"/>
    <col min="6" max="6" width="23.140625" style="4" customWidth="1"/>
    <col min="7" max="7" width="10.28515625" style="4" customWidth="1"/>
    <col min="8" max="8" width="10.140625" bestFit="1" customWidth="1"/>
    <col min="9" max="9" width="2.85546875" customWidth="1"/>
    <col min="15" max="15" width="3.140625" customWidth="1"/>
    <col min="16" max="16" width="13.7109375" customWidth="1"/>
    <col min="17" max="17" width="10.140625" bestFit="1" customWidth="1"/>
  </cols>
  <sheetData>
    <row r="4" spans="2:17" x14ac:dyDescent="0.25">
      <c r="B4" t="s">
        <v>56</v>
      </c>
      <c r="C4" s="10">
        <f>Labour!N4</f>
        <v>0</v>
      </c>
      <c r="D4" s="10"/>
      <c r="E4" s="10"/>
      <c r="F4" t="s">
        <v>63</v>
      </c>
      <c r="G4" s="11" t="e">
        <f>(C4*100/C7)/100</f>
        <v>#DIV/0!</v>
      </c>
      <c r="P4" t="s">
        <v>274</v>
      </c>
      <c r="Q4" s="26">
        <f>C4</f>
        <v>0</v>
      </c>
    </row>
    <row r="5" spans="2:17" x14ac:dyDescent="0.25">
      <c r="B5" t="s">
        <v>57</v>
      </c>
      <c r="C5" s="10">
        <f>Polytec!L4+Hafele!M4+Laminex!M4+'Wilson and Bradley'!M4+WWTT!M4+'Lincoln Sentry'!M4+Coatings!M4+Frameless!M4+GBI!M4+Austim!M4+Modernform!M4</f>
        <v>0</v>
      </c>
      <c r="D5" s="6"/>
      <c r="E5" s="6"/>
      <c r="F5" t="s">
        <v>62</v>
      </c>
      <c r="G5" s="11" t="e">
        <f>(C5*100/SUM(C4+C5))/100</f>
        <v>#DIV/0!</v>
      </c>
      <c r="P5" t="s">
        <v>26</v>
      </c>
      <c r="Q5" s="26">
        <f>C7-Q4</f>
        <v>0</v>
      </c>
    </row>
    <row r="6" spans="2:17" x14ac:dyDescent="0.25">
      <c r="B6" t="s">
        <v>192</v>
      </c>
      <c r="C6" s="18">
        <v>1</v>
      </c>
      <c r="D6" s="6"/>
      <c r="E6" s="6"/>
      <c r="F6"/>
      <c r="G6" s="11"/>
      <c r="P6" t="s">
        <v>275</v>
      </c>
      <c r="Q6" s="26">
        <f>C9+C12</f>
        <v>0</v>
      </c>
    </row>
    <row r="7" spans="2:17" x14ac:dyDescent="0.25">
      <c r="B7" s="1" t="s">
        <v>60</v>
      </c>
      <c r="C7" s="10">
        <f>SUM((C4+C5)*(1+((C6/100)*3)))</f>
        <v>0</v>
      </c>
      <c r="D7" s="6"/>
      <c r="E7" s="6"/>
      <c r="P7" t="s">
        <v>284</v>
      </c>
      <c r="Q7" s="26">
        <f>C10+C11</f>
        <v>0</v>
      </c>
    </row>
    <row r="8" spans="2:17" x14ac:dyDescent="0.25">
      <c r="D8" s="6"/>
      <c r="E8" s="6"/>
      <c r="F8" s="4" t="s">
        <v>147</v>
      </c>
      <c r="G8" s="15">
        <f>SUM(Labour!E5:E55)</f>
        <v>0</v>
      </c>
      <c r="H8" t="s">
        <v>144</v>
      </c>
      <c r="P8" t="s">
        <v>285</v>
      </c>
      <c r="Q8" s="26">
        <f>C13+C14+C15</f>
        <v>0</v>
      </c>
    </row>
    <row r="9" spans="2:17" x14ac:dyDescent="0.25">
      <c r="B9" t="s">
        <v>58</v>
      </c>
      <c r="C9" s="10">
        <f>C7*D9</f>
        <v>0</v>
      </c>
      <c r="D9" s="11">
        <v>0.25</v>
      </c>
      <c r="E9" s="11"/>
      <c r="F9" s="4" t="s">
        <v>146</v>
      </c>
      <c r="G9" s="16">
        <f>G8/7.5</f>
        <v>0</v>
      </c>
      <c r="H9" t="s">
        <v>145</v>
      </c>
      <c r="P9" t="s">
        <v>283</v>
      </c>
      <c r="Q9" s="26">
        <f>C18-C17</f>
        <v>0</v>
      </c>
    </row>
    <row r="10" spans="2:17" x14ac:dyDescent="0.25">
      <c r="B10" t="s">
        <v>137</v>
      </c>
      <c r="C10" s="10">
        <f>C7*D10</f>
        <v>0</v>
      </c>
      <c r="D10" s="11">
        <v>0.05</v>
      </c>
      <c r="E10" s="11"/>
      <c r="F10" s="4" t="s">
        <v>148</v>
      </c>
      <c r="G10" s="16">
        <f>G9/5</f>
        <v>0</v>
      </c>
      <c r="H10" t="s">
        <v>149</v>
      </c>
      <c r="Q10" s="27"/>
    </row>
    <row r="11" spans="2:17" x14ac:dyDescent="0.25">
      <c r="B11" t="s">
        <v>59</v>
      </c>
      <c r="C11" s="10">
        <f>C7*D11</f>
        <v>0</v>
      </c>
      <c r="D11" s="11">
        <v>0.15</v>
      </c>
      <c r="E11" s="11"/>
      <c r="F11"/>
      <c r="G11"/>
    </row>
    <row r="12" spans="2:17" x14ac:dyDescent="0.25">
      <c r="B12" t="s">
        <v>193</v>
      </c>
      <c r="C12" s="10">
        <f>C7*D12</f>
        <v>0</v>
      </c>
      <c r="D12" s="11">
        <v>0.15</v>
      </c>
      <c r="E12" s="11"/>
      <c r="F12"/>
      <c r="G12"/>
      <c r="P12" t="s">
        <v>60</v>
      </c>
      <c r="Q12" s="26">
        <f>SUM(Q4:Q9)</f>
        <v>0</v>
      </c>
    </row>
    <row r="13" spans="2:17" x14ac:dyDescent="0.25">
      <c r="B13" t="s">
        <v>196</v>
      </c>
      <c r="C13" s="10"/>
      <c r="D13" s="11"/>
      <c r="E13" s="11"/>
      <c r="F13"/>
      <c r="G13"/>
    </row>
    <row r="14" spans="2:17" x14ac:dyDescent="0.25">
      <c r="B14" t="s">
        <v>197</v>
      </c>
      <c r="C14" s="10"/>
      <c r="D14" s="11"/>
      <c r="E14" s="11"/>
      <c r="F14"/>
      <c r="G14"/>
    </row>
    <row r="15" spans="2:17" x14ac:dyDescent="0.25">
      <c r="B15" t="s">
        <v>260</v>
      </c>
      <c r="C15" s="10"/>
      <c r="D15" s="11"/>
      <c r="E15" s="11"/>
      <c r="F15"/>
      <c r="G15"/>
    </row>
    <row r="16" spans="2:17" x14ac:dyDescent="0.25">
      <c r="D16"/>
      <c r="E16"/>
      <c r="F16"/>
    </row>
    <row r="17" spans="2:20" x14ac:dyDescent="0.25">
      <c r="B17" s="1" t="s">
        <v>2</v>
      </c>
      <c r="C17" s="17">
        <f>C7+C9+C11+C10+C12+C13+C14+C15</f>
        <v>0</v>
      </c>
      <c r="D17" t="s">
        <v>194</v>
      </c>
      <c r="E17"/>
      <c r="F17"/>
    </row>
    <row r="18" spans="2:20" x14ac:dyDescent="0.25">
      <c r="B18" s="1" t="s">
        <v>61</v>
      </c>
      <c r="C18" s="17">
        <f>(C17)*1.1</f>
        <v>0</v>
      </c>
      <c r="D18" t="s">
        <v>195</v>
      </c>
      <c r="E18"/>
      <c r="F18"/>
      <c r="T18" t="s">
        <v>56</v>
      </c>
    </row>
    <row r="19" spans="2:20" x14ac:dyDescent="0.25">
      <c r="C19"/>
      <c r="D19"/>
      <c r="E19"/>
      <c r="F19"/>
      <c r="T19" t="s">
        <v>57</v>
      </c>
    </row>
    <row r="20" spans="2:20" x14ac:dyDescent="0.25">
      <c r="C20"/>
      <c r="D20"/>
      <c r="E20"/>
      <c r="F20"/>
      <c r="T20" t="s">
        <v>192</v>
      </c>
    </row>
    <row r="21" spans="2:20" x14ac:dyDescent="0.25">
      <c r="C21"/>
      <c r="D21"/>
      <c r="E21"/>
      <c r="F21"/>
    </row>
    <row r="22" spans="2:20" x14ac:dyDescent="0.25">
      <c r="B22" s="19"/>
      <c r="C22" s="19"/>
      <c r="D22" s="19"/>
      <c r="E22" s="19"/>
      <c r="F22" s="19"/>
      <c r="G22"/>
    </row>
    <row r="23" spans="2:20" x14ac:dyDescent="0.25">
      <c r="B23" s="19"/>
      <c r="C23" s="19"/>
      <c r="D23" s="19"/>
      <c r="E23" s="19"/>
      <c r="F23" s="19"/>
      <c r="G23"/>
    </row>
    <row r="24" spans="2:20" x14ac:dyDescent="0.25">
      <c r="B24" s="19"/>
      <c r="C24" s="19"/>
      <c r="D24" s="19"/>
      <c r="E24" s="19"/>
      <c r="F24" s="19"/>
      <c r="G24"/>
    </row>
    <row r="25" spans="2:20" x14ac:dyDescent="0.25">
      <c r="B25" s="24"/>
      <c r="C25" s="24"/>
      <c r="D25" s="24"/>
      <c r="E25" s="24"/>
      <c r="F25" s="19"/>
      <c r="G25"/>
    </row>
    <row r="26" spans="2:20" x14ac:dyDescent="0.25">
      <c r="B26" s="19"/>
      <c r="C26" s="20"/>
      <c r="D26" s="20"/>
      <c r="E26" s="20"/>
      <c r="F26" s="19"/>
      <c r="G26"/>
    </row>
    <row r="27" spans="2:20" x14ac:dyDescent="0.25">
      <c r="B27" s="30" t="s">
        <v>192</v>
      </c>
      <c r="C27" s="30"/>
      <c r="D27"/>
      <c r="E27"/>
      <c r="F27"/>
      <c r="G27"/>
    </row>
    <row r="28" spans="2:20" x14ac:dyDescent="0.25">
      <c r="B28" s="31" t="s">
        <v>280</v>
      </c>
      <c r="C28" s="31"/>
      <c r="D28" s="31"/>
      <c r="E28" s="31"/>
      <c r="F28" s="31"/>
      <c r="G28" s="31"/>
      <c r="H28" s="31"/>
    </row>
    <row r="29" spans="2:20" x14ac:dyDescent="0.25">
      <c r="B29" s="31" t="s">
        <v>281</v>
      </c>
      <c r="C29" s="31"/>
      <c r="D29" s="31"/>
      <c r="E29" s="31"/>
      <c r="F29" s="31"/>
      <c r="G29" s="31"/>
      <c r="H29" s="31"/>
    </row>
    <row r="30" spans="2:20" x14ac:dyDescent="0.25">
      <c r="B30" s="31" t="s">
        <v>282</v>
      </c>
      <c r="C30" s="31"/>
      <c r="D30" s="31"/>
      <c r="E30" s="31"/>
      <c r="F30" s="31"/>
      <c r="G30" s="31"/>
      <c r="H30" s="31"/>
    </row>
    <row r="31" spans="2:20" x14ac:dyDescent="0.25">
      <c r="B31" s="19"/>
      <c r="C31" s="20"/>
      <c r="D31" s="20"/>
      <c r="E31" s="20"/>
      <c r="F31" s="19"/>
      <c r="G31"/>
    </row>
    <row r="32" spans="2:20" x14ac:dyDescent="0.25">
      <c r="B32" s="19"/>
      <c r="C32" s="20"/>
      <c r="D32" s="20"/>
      <c r="E32" s="20"/>
      <c r="F32" s="19"/>
      <c r="G32"/>
    </row>
    <row r="33" spans="2:7" x14ac:dyDescent="0.25">
      <c r="B33" s="19"/>
      <c r="C33" s="20"/>
      <c r="D33" s="20"/>
      <c r="E33" s="20"/>
      <c r="F33" s="19"/>
      <c r="G33"/>
    </row>
    <row r="34" spans="2:7" x14ac:dyDescent="0.25">
      <c r="B34" s="19"/>
      <c r="C34" s="20"/>
      <c r="D34" s="20"/>
      <c r="E34" s="20"/>
      <c r="F34" s="19"/>
      <c r="G34"/>
    </row>
    <row r="35" spans="2:7" x14ac:dyDescent="0.25">
      <c r="B35" s="19"/>
      <c r="C35" s="20"/>
      <c r="D35" s="20"/>
      <c r="E35" s="20"/>
      <c r="F35" s="19"/>
      <c r="G35"/>
    </row>
    <row r="36" spans="2:7" x14ac:dyDescent="0.25">
      <c r="B36" s="19"/>
      <c r="C36" s="20"/>
      <c r="D36" s="20"/>
      <c r="E36" s="20"/>
      <c r="F36" s="19"/>
      <c r="G36"/>
    </row>
    <row r="37" spans="2:7" x14ac:dyDescent="0.25">
      <c r="B37" s="19"/>
      <c r="C37" s="20"/>
      <c r="D37" s="20"/>
      <c r="E37" s="20"/>
      <c r="F37" s="19"/>
      <c r="G37"/>
    </row>
    <row r="38" spans="2:7" x14ac:dyDescent="0.25">
      <c r="B38" s="19"/>
      <c r="C38" s="20"/>
      <c r="D38" s="20"/>
      <c r="E38" s="20"/>
      <c r="F38" s="19"/>
      <c r="G38"/>
    </row>
    <row r="39" spans="2:7" x14ac:dyDescent="0.25">
      <c r="B39" s="24"/>
      <c r="C39" s="20"/>
      <c r="D39" s="20"/>
      <c r="E39" s="20"/>
      <c r="F39" s="19"/>
      <c r="G39"/>
    </row>
    <row r="40" spans="2:7" x14ac:dyDescent="0.25">
      <c r="B40" s="19"/>
      <c r="C40" s="20"/>
      <c r="D40" s="20"/>
      <c r="E40" s="20"/>
      <c r="F40" s="19"/>
      <c r="G40"/>
    </row>
    <row r="41" spans="2:7" x14ac:dyDescent="0.25">
      <c r="B41" s="19"/>
      <c r="C41" s="20"/>
      <c r="D41" s="20"/>
      <c r="E41" s="20"/>
      <c r="F41" s="19"/>
      <c r="G41"/>
    </row>
    <row r="42" spans="2:7" x14ac:dyDescent="0.25">
      <c r="B42" s="19"/>
      <c r="C42" s="20"/>
      <c r="D42" s="20"/>
      <c r="E42" s="20"/>
      <c r="F42" s="19"/>
      <c r="G42"/>
    </row>
    <row r="43" spans="2:7" x14ac:dyDescent="0.25">
      <c r="B43" s="19"/>
      <c r="C43" s="20"/>
      <c r="D43" s="20"/>
      <c r="E43" s="20"/>
      <c r="F43" s="19"/>
      <c r="G43"/>
    </row>
    <row r="44" spans="2:7" x14ac:dyDescent="0.25">
      <c r="B44" s="19"/>
      <c r="C44" s="20"/>
      <c r="D44" s="20"/>
      <c r="E44" s="25"/>
      <c r="F44" s="24"/>
      <c r="G44"/>
    </row>
    <row r="45" spans="2:7" x14ac:dyDescent="0.25">
      <c r="B45" s="24"/>
      <c r="C45" s="20"/>
      <c r="D45" s="20"/>
      <c r="E45" s="20"/>
      <c r="F45" s="21"/>
      <c r="G45"/>
    </row>
    <row r="46" spans="2:7" x14ac:dyDescent="0.25">
      <c r="B46" s="24"/>
      <c r="C46" s="22"/>
      <c r="D46" s="23"/>
      <c r="E46" s="20"/>
      <c r="F46" s="21"/>
      <c r="G46"/>
    </row>
    <row r="47" spans="2:7" x14ac:dyDescent="0.25">
      <c r="B47" s="19"/>
      <c r="C47" s="19"/>
      <c r="D47" s="19"/>
      <c r="E47" s="19"/>
      <c r="F47" s="19"/>
      <c r="G47"/>
    </row>
    <row r="48" spans="2:7" x14ac:dyDescent="0.25">
      <c r="B48" s="19"/>
      <c r="C48" s="19"/>
      <c r="D48" s="19"/>
      <c r="E48" s="19"/>
      <c r="F48" s="19"/>
      <c r="G48"/>
    </row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</sheetData>
  <mergeCells count="4">
    <mergeCell ref="B27:C27"/>
    <mergeCell ref="B30:H30"/>
    <mergeCell ref="B29:H29"/>
    <mergeCell ref="B28:H28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Austim</vt:lpstr>
      <vt:lpstr>Modernform</vt:lpstr>
      <vt:lpstr>Frameless</vt:lpstr>
      <vt:lpstr>Coatings</vt:lpstr>
      <vt:lpstr>Lincoln Sentry</vt:lpstr>
      <vt:lpstr>WWTT</vt:lpstr>
      <vt:lpstr>Wilson and Bradley</vt:lpstr>
      <vt:lpstr>GBI</vt:lpstr>
      <vt:lpstr>Laminex</vt:lpstr>
      <vt:lpstr>Hafele</vt:lpstr>
      <vt:lpstr>Polytec</vt:lpstr>
      <vt:lpstr>Labour</vt:lpstr>
      <vt:lpstr>Final Costings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Jordan Stirling</dc:creator>
  <cp:lastModifiedBy>Jordan Stirling</cp:lastModifiedBy>
  <dcterms:created xsi:type="dcterms:W3CDTF">2024-07-23T00:39:42Z</dcterms:created>
  <dcterms:modified xsi:type="dcterms:W3CDTF">2025-09-13T10:14:53Z</dcterms:modified>
</cp:coreProperties>
</file>